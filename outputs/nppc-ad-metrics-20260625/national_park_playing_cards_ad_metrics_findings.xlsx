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53ada58a5a4e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75a365bcb844701"/>
    <x:sheet xmlns:r="http://schemas.openxmlformats.org/officeDocument/2006/relationships" name="Flex Metrics" sheetId="2" r:id="Rab8cf2f5897b40a1"/>
    <x:sheet xmlns:r="http://schemas.openxmlformats.org/officeDocument/2006/relationships" name="Shopify Weekly" sheetId="3" r:id="Rdbf6cc7ead3c49e4"/>
    <x:sheet xmlns:r="http://schemas.openxmlformats.org/officeDocument/2006/relationships" name="Kickstarter Traction" sheetId="4" r:id="Ref1d9d593213409a"/>
    <x:sheet xmlns:r="http://schemas.openxmlformats.org/officeDocument/2006/relationships" name="Source Audit" sheetId="5" r:id="R552762420f334d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&quot;$&quot;#,##0.00"/>
    <x:numFmt numFmtId="201" formatCode="0.00x"/>
    <x:numFmt numFmtId="202" formatCode="#,##0"/>
    <x:numFmt numFmtId="203" formatCode="yyyy-mm-dd"/>
    <x:numFmt numFmtId="204" formatCode="&quot;$&quot;#,##0"/>
  </x:numFmts>
  <x:fonts count="1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1F2933"/>
      <x:name val="Carlito"/>
    </x:font>
    <x:font>
      <x:b/>
      <x:sz val="11"/>
      <x:name val="Carlito"/>
    </x:font>
    <x:font>
      <x:b/>
      <x:sz val="16"/>
      <x:color rgb="FFFFFFFF"/>
      <x:name val="Aptos"/>
    </x:font>
    <x:font>
      <x:sz val="11"/>
      <x:name val="Aptos"/>
    </x:font>
    <x:font>
      <x:b/>
      <x:sz val="11"/>
      <x:color rgb="FFFFFFFF"/>
      <x:name val="Aptos"/>
    </x:font>
    <x:font>
      <x:sz val="11"/>
      <x:color rgb="FF1F2933"/>
      <x:name val="Aptos"/>
    </x:font>
    <x:font>
      <x:b/>
      <x:sz val="10"/>
      <x:color rgb="FFFFFFFF"/>
      <x:name val="Aptos"/>
    </x:font>
    <x:font>
      <x:sz val="10"/>
      <x:name val="Aptos"/>
    </x:font>
    <x:font>
      <x:sz val="10"/>
      <x:color rgb="FF1F2933"/>
      <x:name val="Aptos"/>
    </x:font>
    <x:font>
      <x:b/>
      <x:sz val="11"/>
      <x:name val="Aptos"/>
    </x:font>
    <x:font>
      <x:b/>
      <x:sz val="1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03D3A"/>
      </x:patternFill>
    </x:fill>
    <x:fill>
      <x:patternFill patternType="solid">
        <x:fgColor rgb="FFDFF3E4"/>
      </x:patternFill>
    </x:fill>
    <x:fill>
      <x:patternFill patternType="solid">
        <x:fgColor rgb="FFFFF4CE"/>
      </x:patternFill>
    </x:fill>
    <x:fill>
      <x:patternFill patternType="solid">
        <x:fgColor rgb="FFE8F3EF"/>
      </x:patternFill>
    </x:fill>
  </x:fills>
  <x:borders count="6">
    <x:border/>
    <x:border>
      <x:left style="thin">
        <x:color rgb="FF103D3A"/>
      </x:left>
      <x:top style="thin">
        <x:color rgb="FF103D3A"/>
      </x:top>
      <x:bottom style="thin">
        <x:color rgb="FF103D3A"/>
      </x:bottom>
    </x:border>
    <x:border>
      <x:right style="thin">
        <x:color rgb="FF103D3A"/>
      </x:right>
      <x:top style="thin">
        <x:color rgb="FF103D3A"/>
      </x:top>
      <x:bottom style="thin">
        <x:color rgb="FF103D3A"/>
      </x:bottom>
    </x:border>
    <x:border>
      <x:bottom style="thin">
        <x:color rgb="FFD7E3DF"/>
      </x:bottom>
    </x:border>
    <x:border>
      <x:top style="thin">
        <x:color rgb="FFD7E3DF"/>
      </x:top>
      <x:bottom style="thin">
        <x:color rgb="FFD7E3DF"/>
      </x:bottom>
    </x:border>
    <x:border>
      <x:top style="thin">
        <x:color rgb="FF103D3A"/>
      </x:top>
      <x:bottom style="thin">
        <x:color rgb="FF103D3A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wrapText="1"/>
    </x:xf>
    <x:xf numFmtId="200" fontId="4" fillId="0" borderId="3" xfId="0" applyNumberFormat="1" applyFont="1" applyFill="1" applyBorder="1" applyAlignment="1">
      <x:alignment wrapText="1"/>
    </x:xf>
    <x:xf numFmtId="200" fontId="4" fillId="0" borderId="4" xfId="0" applyNumberFormat="1" applyFont="1" applyFill="1" applyBorder="1" applyAlignment="1">
      <x:alignment wrapText="1"/>
    </x:xf>
    <x:xf numFmtId="201" fontId="4" fillId="0" borderId="3" xfId="0" applyNumberFormat="1" applyFont="1" applyFill="1" applyBorder="1" applyAlignment="1">
      <x:alignment wrapText="1"/>
    </x:xf>
    <x:xf numFmtId="201" fontId="4" fillId="0" borderId="4" xfId="0" applyNumberFormat="1" applyFont="1" applyFill="1" applyBorder="1" applyAlignment="1">
      <x:alignment wrapText="1"/>
    </x:xf>
    <x:xf numFmtId="202" fontId="4" fillId="0" borderId="3" xfId="0" applyNumberFormat="1" applyFont="1" applyFill="1" applyBorder="1" applyAlignment="1">
      <x:alignment wrapText="1"/>
    </x:xf>
    <x:xf numFmtId="202" fontId="4" fillId="0" borderId="4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203" fontId="4" fillId="0" borderId="3" xfId="0" applyNumberFormat="1" applyFont="1" applyFill="1" applyBorder="1" applyAlignment="1">
      <x:alignment wrapText="1"/>
    </x:xf>
    <x:xf numFmtId="203" fontId="4" fillId="0" borderId="4" xfId="0" applyNumberFormat="1" applyFont="1" applyFill="1" applyBorder="1" applyAlignment="1">
      <x:alignment wrapText="1"/>
    </x:xf>
    <x:xf numFmtId="204" fontId="4" fillId="0" borderId="4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2" borderId="0" xfId="0" applyNumberFormat="1" applyFont="1" applyFill="1" applyBorder="1"/>
    <x:xf numFmtId="0" fontId="7" fillId="0" borderId="0" xfId="0" applyNumberFormat="1" applyFont="1" applyFill="1" applyBorder="1"/>
    <x:xf numFmtId="0" fontId="8" fillId="2" borderId="1" xfId="0" applyNumberFormat="1" applyFont="1" applyFill="1" applyBorder="1" applyAlignment="1">
      <x:alignment wrapText="1"/>
    </x:xf>
    <x:xf numFmtId="0" fontId="8" fillId="2" borderId="2" xfId="0" applyNumberFormat="1" applyFont="1" applyFill="1" applyBorder="1" applyAlignment="1">
      <x:alignment wrapText="1"/>
    </x:xf>
    <x:xf numFmtId="0" fontId="9" fillId="0" borderId="3" xfId="0" applyNumberFormat="1" applyFont="1" applyFill="1" applyBorder="1" applyAlignment="1">
      <x:alignment wrapText="1"/>
    </x:xf>
    <x:xf numFmtId="0" fontId="9" fillId="0" borderId="4" xfId="0" applyNumberFormat="1" applyFont="1" applyFill="1" applyBorder="1" applyAlignment="1">
      <x:alignment wrapText="1"/>
    </x:xf>
    <x:xf numFmtId="0" fontId="10" fillId="2" borderId="0" xfId="0" applyNumberFormat="1" applyFont="1" applyFill="1" applyBorder="1"/>
    <x:xf numFmtId="0" fontId="11" fillId="0" borderId="0" xfId="0" applyNumberFormat="1" applyFont="1" applyFill="1" applyBorder="1"/>
    <x:xf numFmtId="0" fontId="10" fillId="2" borderId="1" xfId="0" applyNumberFormat="1" applyFont="1" applyFill="1" applyBorder="1" applyAlignment="1">
      <x:alignment wrapText="1"/>
    </x:xf>
    <x:xf numFmtId="0" fontId="10" fillId="2" borderId="2" xfId="0" applyNumberFormat="1" applyFont="1" applyFill="1" applyBorder="1" applyAlignment="1">
      <x:alignment wrapText="1"/>
    </x:xf>
    <x:xf numFmtId="0" fontId="12" fillId="0" borderId="3" xfId="0" applyNumberFormat="1" applyFont="1" applyFill="1" applyBorder="1" applyAlignment="1">
      <x:alignment wrapText="1"/>
    </x:xf>
    <x:xf numFmtId="0" fontId="12" fillId="0" borderId="4" xfId="0" applyNumberFormat="1" applyFont="1" applyFill="1" applyBorder="1" applyAlignment="1">
      <x:alignment wrapText="1"/>
    </x:xf>
    <x:xf numFmtId="0" fontId="8" fillId="2" borderId="5" xfId="0" applyNumberFormat="1" applyFont="1" applyFill="1" applyBorder="1" applyAlignment="1">
      <x:alignment wrapText="1"/>
    </x:xf>
    <x:xf numFmtId="0" fontId="9" fillId="3" borderId="3" xfId="0" applyNumberFormat="1" applyFont="1" applyFill="1" applyBorder="1" applyAlignment="1">
      <x:alignment wrapText="1"/>
    </x:xf>
    <x:xf numFmtId="200" fontId="9" fillId="0" borderId="3" xfId="0" applyNumberFormat="1" applyFont="1" applyFill="1" applyBorder="1" applyAlignment="1">
      <x:alignment wrapText="1"/>
    </x:xf>
    <x:xf numFmtId="202" fontId="9" fillId="0" borderId="3" xfId="0" applyNumberFormat="1" applyFont="1" applyFill="1" applyBorder="1" applyAlignment="1">
      <x:alignment wrapText="1"/>
    </x:xf>
    <x:xf numFmtId="201" fontId="9" fillId="0" borderId="3" xfId="0" applyNumberFormat="1" applyFont="1" applyFill="1" applyBorder="1" applyAlignment="1">
      <x:alignment wrapText="1"/>
    </x:xf>
    <x:xf numFmtId="0" fontId="9" fillId="4" borderId="3" xfId="0" applyNumberFormat="1" applyFont="1" applyFill="1" applyBorder="1" applyAlignment="1">
      <x:alignment wrapText="1"/>
    </x:xf>
    <x:xf numFmtId="0" fontId="9" fillId="3" borderId="4" xfId="0" applyNumberFormat="1" applyFont="1" applyFill="1" applyBorder="1" applyAlignment="1">
      <x:alignment wrapText="1"/>
    </x:xf>
    <x:xf numFmtId="200" fontId="9" fillId="0" borderId="4" xfId="0" applyNumberFormat="1" applyFont="1" applyFill="1" applyBorder="1" applyAlignment="1">
      <x:alignment wrapText="1"/>
    </x:xf>
    <x:xf numFmtId="202" fontId="9" fillId="0" borderId="4" xfId="0" applyNumberFormat="1" applyFont="1" applyFill="1" applyBorder="1" applyAlignment="1">
      <x:alignment wrapText="1"/>
    </x:xf>
    <x:xf numFmtId="201" fontId="9" fillId="0" borderId="4" xfId="0" applyNumberFormat="1" applyFont="1" applyFill="1" applyBorder="1" applyAlignment="1">
      <x:alignment wrapText="1"/>
    </x:xf>
    <x:xf numFmtId="0" fontId="9" fillId="4" borderId="4" xfId="0" applyNumberFormat="1" applyFont="1" applyFill="1" applyBorder="1" applyAlignment="1">
      <x:alignment wrapText="1"/>
    </x:xf>
    <x:xf numFmtId="0" fontId="10" fillId="2" borderId="5" xfId="0" applyNumberFormat="1" applyFont="1" applyFill="1" applyBorder="1" applyAlignment="1">
      <x:alignment wrapText="1"/>
    </x:xf>
    <x:xf numFmtId="0" fontId="12" fillId="3" borderId="3" xfId="0" applyNumberFormat="1" applyFont="1" applyFill="1" applyBorder="1" applyAlignment="1">
      <x:alignment wrapText="1"/>
    </x:xf>
    <x:xf numFmtId="200" fontId="12" fillId="0" borderId="3" xfId="0" applyNumberFormat="1" applyFont="1" applyFill="1" applyBorder="1" applyAlignment="1">
      <x:alignment wrapText="1"/>
    </x:xf>
    <x:xf numFmtId="202" fontId="12" fillId="0" borderId="3" xfId="0" applyNumberFormat="1" applyFont="1" applyFill="1" applyBorder="1" applyAlignment="1">
      <x:alignment wrapText="1"/>
    </x:xf>
    <x:xf numFmtId="201" fontId="12" fillId="0" borderId="3" xfId="0" applyNumberFormat="1" applyFont="1" applyFill="1" applyBorder="1" applyAlignment="1">
      <x:alignment wrapText="1"/>
    </x:xf>
    <x:xf numFmtId="0" fontId="12" fillId="4" borderId="3" xfId="0" applyNumberFormat="1" applyFont="1" applyFill="1" applyBorder="1" applyAlignment="1">
      <x:alignment wrapText="1"/>
    </x:xf>
    <x:xf numFmtId="0" fontId="12" fillId="3" borderId="4" xfId="0" applyNumberFormat="1" applyFont="1" applyFill="1" applyBorder="1" applyAlignment="1">
      <x:alignment wrapText="1"/>
    </x:xf>
    <x:xf numFmtId="200" fontId="12" fillId="0" borderId="4" xfId="0" applyNumberFormat="1" applyFont="1" applyFill="1" applyBorder="1" applyAlignment="1">
      <x:alignment wrapText="1"/>
    </x:xf>
    <x:xf numFmtId="202" fontId="12" fillId="0" borderId="4" xfId="0" applyNumberFormat="1" applyFont="1" applyFill="1" applyBorder="1" applyAlignment="1">
      <x:alignment wrapText="1"/>
    </x:xf>
    <x:xf numFmtId="201" fontId="12" fillId="0" borderId="4" xfId="0" applyNumberFormat="1" applyFont="1" applyFill="1" applyBorder="1" applyAlignment="1">
      <x:alignment wrapText="1"/>
    </x:xf>
    <x:xf numFmtId="0" fontId="12" fillId="4" borderId="4" xfId="0" applyNumberFormat="1" applyFont="1" applyFill="1" applyBorder="1" applyAlignment="1">
      <x:alignment wrapText="1"/>
    </x:xf>
    <x:xf numFmtId="203" fontId="9" fillId="0" borderId="3" xfId="0" applyNumberFormat="1" applyFont="1" applyFill="1" applyBorder="1" applyAlignment="1">
      <x:alignment wrapText="1"/>
    </x:xf>
    <x:xf numFmtId="203" fontId="9" fillId="0" borderId="4" xfId="0" applyNumberFormat="1" applyFont="1" applyFill="1" applyBorder="1" applyAlignment="1">
      <x:alignment wrapText="1"/>
    </x:xf>
    <x:xf numFmtId="203" fontId="12" fillId="0" borderId="3" xfId="0" applyNumberFormat="1" applyFont="1" applyFill="1" applyBorder="1" applyAlignment="1">
      <x:alignment wrapText="1"/>
    </x:xf>
    <x:xf numFmtId="203" fontId="12" fillId="0" borderId="4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204" fontId="9" fillId="0" borderId="4" xfId="0" applyNumberFormat="1" applyFont="1" applyFill="1" applyBorder="1" applyAlignment="1">
      <x:alignment wrapText="1"/>
    </x:xf>
    <x:xf numFmtId="204" fontId="12" fillId="0" borderId="4" xfId="0" applyNumberFormat="1" applyFont="1" applyFill="1" applyBorder="1" applyAlignment="1">
      <x:alignment wrapText="1"/>
    </x:xf>
    <x:xf numFmtId="0" fontId="13" fillId="5" borderId="0" xfId="0" applyNumberFormat="1" applyFont="1" applyFill="1" applyBorder="1"/>
    <x:xf numFmtId="0" fontId="14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c9bce0912241fe" /><Relationship Type="http://schemas.openxmlformats.org/officeDocument/2006/relationships/theme" Target="/xl/theme/theme1.xml" Id="R9ccd644355d94006" /><Relationship Type="http://schemas.openxmlformats.org/officeDocument/2006/relationships/sharedStrings" Target="/xl/sharedStrings.xml" Id="R6196943698504135" /><Relationship Type="http://schemas.openxmlformats.org/officeDocument/2006/relationships/worksheet" Target="/xl/worksheets/sheet1.xml" Id="Ra75a365bcb844701" /><Relationship Type="http://schemas.openxmlformats.org/officeDocument/2006/relationships/worksheet" Target="/xl/worksheets/sheet2.xml" Id="Rab8cf2f5897b40a1" /><Relationship Type="http://schemas.openxmlformats.org/officeDocument/2006/relationships/worksheet" Target="/xl/worksheets/sheet3.xml" Id="Rdbf6cc7ead3c49e4" /><Relationship Type="http://schemas.openxmlformats.org/officeDocument/2006/relationships/worksheet" Target="/xl/worksheets/sheet4.xml" Id="Ref1d9d593213409a" /><Relationship Type="http://schemas.openxmlformats.org/officeDocument/2006/relationships/worksheet" Target="/xl/worksheets/sheet5.xml" Id="R552762420f334d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15" hidden="0" customWidth="1"/>
  </x:cols>
  <x:sheetData>
    <x:row r="1" ht="30" customHeight="1">
      <x:c r="A1" s="36" t="str">
        <x:v>National Park Playing Cards - Ad Metrics Findings</x:v>
      </x:c>
      <x:c r="B1" s="36"/>
      <x:c r="C1" s="4"/>
      <x:c r="D1" s="4"/>
      <x:c r="E1" s="4"/>
    </x:row>
    <x:row r="2">
      <x:c r="A2" s="37"/>
      <x:c r="B2" s="37"/>
    </x:row>
    <x:row r="3">
      <x:c r="A3" s="38" t="str">
        <x:v>Finding</x:v>
      </x:c>
      <x:c r="B3" s="39" t="str">
        <x:v>Recommended read</x:v>
      </x:c>
    </x:row>
    <x:row r="4">
      <x:c r="A4" s="40" t="str">
        <x:v>Best ad-efficiency claim</x:v>
      </x:c>
      <x:c r="B4" s="40" t="str">
        <x:v>Generated $36,724 in direct Shopify sales in 2020 on $15,737 tracked ad fees (2.33x ROAS, $8.66 ad cost/order).</x:v>
      </x:c>
    </x:row>
    <x:row r="5">
      <x:c r="A5" s="41" t="str">
        <x:v>Best Zach-linked claim</x:v>
      </x:c>
      <x:c r="B5" s="41" t="str">
        <x:v>Zach-linked paid window: $45,258 direct Shopify sales on $20,987 ad fees (2.16x ROAS, $9.51 ad cost/order).</x:v>
      </x:c>
    </x:row>
    <x:row r="6">
      <x:c r="A6" s="41" t="str">
        <x:v>Best peak-week proof</x:v>
      </x:c>
      <x:c r="B6" s="41" t="str">
        <x:v>Peak paid week by revenue: $3,092 sales on $929 ad fees (3.33x ROAS, $7.20 ad cost/order).</x:v>
      </x:c>
    </x:row>
    <x:row r="7">
      <x:c r="A7" s="41" t="str">
        <x:v>Platform caveat</x:v>
      </x:c>
      <x:c r="B7" s="41" t="str">
        <x:v>No raw Meta Ads, Google Ads, or Instagram Ads Manager export surfaced. Phrase the metric as tracked paid/direct Shopify performance unless the original platform export turns up.</x:v>
      </x:c>
    </x:row>
    <x:row r="8">
      <x:c r="A8" s="41" t="str">
        <x:v>Zach clue</x:v>
      </x:c>
      <x:c r="B8" s="41" t="str">
        <x:v>The profit workbook includes a Paid to Zach column totaling $3,033.18 across the historic paid window. No Zachary Stevenson surname hit was found in filenames/content sweeps.</x:v>
      </x:c>
    </x:row>
    <x:row r="9">
      <x:c r="A9" s="41" t="str">
        <x:v>Non-ad traction</x:v>
      </x:c>
      <x:c r="B9" s="41" t="str">
        <x:v>Separate sources support 20,000 decks sold, 185 unique stores, 49 states, plus a Kickstarter 30-day summary of 233 backers and $5,647 revenue.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24" hidden="0" customWidth="1"/>
    <x:col min="4" max="4" width="14" hidden="0" customWidth="1"/>
    <x:col min="5" max="5" width="14" hidden="0" customWidth="1"/>
    <x:col min="6" max="6" width="11" hidden="0" customWidth="1"/>
    <x:col min="7" max="7" width="11" hidden="0" customWidth="1"/>
    <x:col min="8" max="8" width="10" hidden="0" customWidth="1"/>
    <x:col min="9" max="9" width="16" hidden="0" customWidth="1"/>
    <x:col min="10" max="10" width="15" hidden="0" customWidth="1"/>
    <x:col min="11" max="11" width="68" hidden="0" customWidth="1"/>
    <x:col min="12" max="12" width="52" hidden="0" customWidth="1"/>
    <x:col min="13" max="13" width="60" hidden="0" customWidth="1"/>
  </x:cols>
  <x:sheetData>
    <x:row r="1">
      <x:c r="A1" s="38" t="str">
        <x:v>Strength</x:v>
      </x:c>
      <x:c r="B1" s="53" t="str">
        <x:v>Claim</x:v>
      </x:c>
      <x:c r="C1" s="53" t="str">
        <x:v>Period</x:v>
      </x:c>
      <x:c r="D1" s="53" t="str">
        <x:v>Sales USD</x:v>
      </x:c>
      <x:c r="E1" s="53" t="str">
        <x:v>Ad Fees USD</x:v>
      </x:c>
      <x:c r="F1" s="53" t="str">
        <x:v>Orders</x:v>
      </x:c>
      <x:c r="G1" s="53" t="str">
        <x:v>Units Sold</x:v>
      </x:c>
      <x:c r="H1" s="53" t="str">
        <x:v>ROAS</x:v>
      </x:c>
      <x:c r="I1" s="53" t="str">
        <x:v>Ad Cost / Order</x:v>
      </x:c>
      <x:c r="J1" s="53" t="str">
        <x:v>Ad Cost / Unit</x:v>
      </x:c>
      <x:c r="K1" s="53" t="str">
        <x:v>Portfolio Copy</x:v>
      </x:c>
      <x:c r="L1" s="53" t="str">
        <x:v>Source / Evidence</x:v>
      </x:c>
      <x:c r="M1" s="39" t="str">
        <x:v>Caveat</x:v>
      </x:c>
    </x:row>
    <x:row r="2">
      <x:c r="A2" s="54" t="str">
        <x:v>Flex-worthy</x:v>
      </x:c>
      <x:c r="B2" s="40" t="str">
        <x:v>2020 paid Shopify direct sales</x:v>
      </x:c>
      <x:c r="C2" s="40" t="str">
        <x:v>2020-04-11 to 2020-12-26</x:v>
      </x:c>
      <x:c r="D2" s="55" t="n">
        <x:v>36724.1</x:v>
      </x:c>
      <x:c r="E2" s="55" t="n">
        <x:v>15737.1</x:v>
      </x:c>
      <x:c r="F2" s="56" t="n">
        <x:v>1817</x:v>
      </x:c>
      <x:c r="G2" s="56" t="n">
        <x:v>2849</x:v>
      </x:c>
      <x:c r="H2" s="57" t="n">
        <x:f>IF(E2&gt;0,D2/E2,"")</x:f>
        <x:v>2.3336002185917355</x:v>
      </x:c>
      <x:c r="I2" s="55" t="n">
        <x:f>IF(F2&gt;0,E2/F2,"")</x:f>
        <x:v>8.661034672537149</x:v>
      </x:c>
      <x:c r="J2" s="55" t="n">
        <x:f>IF(G2&gt;0,E2/G2,"")</x:f>
        <x:v>5.523727623727624</x:v>
      </x:c>
      <x:c r="K2" s="40" t="str">
        <x:v>Generated $36,724 in direct Shopify sales in 2020 on $15,737 tracked ad fees (2.33x ROAS, $8.66 ad cost/order).</x:v>
      </x:c>
      <x:c r="L2" s="40" t="str">
        <x:v>NAT PARK PROFITS.numbers export &gt; Shopify Financials rows 4-41</x:v>
      </x:c>
      <x:c r="M2" s="58" t="str">
        <x:v>Treat as blended direct Shopify ad efficiency; platform-level Meta export was not found.</x:v>
      </x:c>
    </x:row>
    <x:row r="3">
      <x:c r="A3" s="59" t="str">
        <x:v>Flex-worthy</x:v>
      </x:c>
      <x:c r="B3" s="41" t="str">
        <x:v>Zach-linked paid Shopify window</x:v>
      </x:c>
      <x:c r="C3" s="41" t="str">
        <x:v>2020-04-11 to 2021-03-27</x:v>
      </x:c>
      <x:c r="D3" s="60" t="n">
        <x:v>45257.98</x:v>
      </x:c>
      <x:c r="E3" s="60" t="n">
        <x:v>20987.43</x:v>
      </x:c>
      <x:c r="F3" s="61" t="n">
        <x:v>2208</x:v>
      </x:c>
      <x:c r="G3" s="61" t="n">
        <x:v>3577</x:v>
      </x:c>
      <x:c r="H3" s="62" t="n">
        <x:f>IF(E3&gt;0,D3/E3,"")</x:f>
        <x:v>2.1564326837540375</x:v>
      </x:c>
      <x:c r="I3" s="60" t="n">
        <x:f>IF(F3&gt;0,E3/F3,"")</x:f>
        <x:v>9.505176630434782</x:v>
      </x:c>
      <x:c r="J3" s="60" t="n">
        <x:f>IF(G3&gt;0,E3/G3,"")</x:f>
        <x:v>5.867327369303886</x:v>
      </x:c>
      <x:c r="K3" s="41" t="str">
        <x:v>Zach-linked paid window: $45,258 direct Shopify sales on $20,987 ad fees (2.16x ROAS, $9.51 ad cost/order).</x:v>
      </x:c>
      <x:c r="L3" s="41" t="str">
        <x:v>NAT PARK PROFITS.numbers export &gt; Shopify Financials rows 4-54; same sheet includes Paid to Zach column</x:v>
      </x:c>
      <x:c r="M3" s="63" t="str">
        <x:v>Ad total is recalculated consistently over rows 4-54. The original sheet has a separate ad total formula ending at row 53.</x:v>
      </x:c>
    </x:row>
    <x:row r="4">
      <x:c r="A4" s="59" t="str">
        <x:v>Flex-worthy</x:v>
      </x:c>
      <x:c r="B4" s="41" t="str">
        <x:v>Holiday 2020 paid push</x:v>
      </x:c>
      <x:c r="C4" s="41" t="str">
        <x:v>2020-11-07 to 2020-12-26</x:v>
      </x:c>
      <x:c r="D4" s="60" t="n">
        <x:v>15072</x:v>
      </x:c>
      <x:c r="E4" s="60" t="n">
        <x:v>5782.99</x:v>
      </x:c>
      <x:c r="F4" s="61" t="n">
        <x:v>697</x:v>
      </x:c>
      <x:c r="G4" s="61" t="n">
        <x:v>1284</x:v>
      </x:c>
      <x:c r="H4" s="62" t="n">
        <x:f>IF(E4&gt;0,D4/E4,"")</x:f>
        <x:v>2.606264233553923</x:v>
      </x:c>
      <x:c r="I4" s="60" t="n">
        <x:f>IF(F4&gt;0,E4/F4,"")</x:f>
        <x:v>8.296972740315638</x:v>
      </x:c>
      <x:c r="J4" s="60" t="n">
        <x:f>IF(G4&gt;0,E4/G4,"")</x:f>
        <x:v>4.503886292834891</x:v>
      </x:c>
      <x:c r="K4" s="41" t="str">
        <x:v>Holiday push: $15,072 in eight weeks at 2.61x ROAS with 697 orders.</x:v>
      </x:c>
      <x:c r="L4" s="41" t="str">
        <x:v>NAT PARK PROFITS.numbers export &gt; Shopify Financials rows 34-41</x:v>
      </x:c>
      <x:c r="M4" s="63" t="str">
        <x:v>Strongest scaled paid period.</x:v>
      </x:c>
    </x:row>
    <x:row r="5">
      <x:c r="A5" s="59" t="str">
        <x:v>Flex-worthy</x:v>
      </x:c>
      <x:c r="B5" s="41" t="str">
        <x:v>December 2020 paid peak month</x:v>
      </x:c>
      <x:c r="C5" s="41" t="str">
        <x:v>2020-12-05 to 2020-12-26</x:v>
      </x:c>
      <x:c r="D5" s="60" t="n">
        <x:v>9202.89</x:v>
      </x:c>
      <x:c r="E5" s="60" t="n">
        <x:v>3494.59</x:v>
      </x:c>
      <x:c r="F5" s="61" t="n">
        <x:v>428</x:v>
      </x:c>
      <x:c r="G5" s="61" t="n">
        <x:v>782</x:v>
      </x:c>
      <x:c r="H5" s="62" t="n">
        <x:f>IF(E5&gt;0,D5/E5,"")</x:f>
        <x:v>2.6334677315507684</x:v>
      </x:c>
      <x:c r="I5" s="60" t="n">
        <x:f>IF(F5&gt;0,E5/F5,"")</x:f>
        <x:v>8.164929906542056</x:v>
      </x:c>
      <x:c r="J5" s="60" t="n">
        <x:f>IF(G5&gt;0,E5/G5,"")</x:f>
        <x:v>4.4687851662404094</x:v>
      </x:c>
      <x:c r="K5" s="41" t="str">
        <x:v>December 2020 peak: $9,203 direct sales, 428 orders, 2.63x ROAS.</x:v>
      </x:c>
      <x:c r="L5" s="41" t="str">
        <x:v>NAT PARK PROFITS.numbers export &gt; Shopify Financials rows 38-41</x:v>
      </x:c>
      <x:c r="M5" s="63" t="str">
        <x:v>Best month-sized period for portfolio copy.</x:v>
      </x:c>
    </x:row>
    <x:row r="6">
      <x:c r="A6" s="59" t="str">
        <x:v>Flex-worthy</x:v>
      </x:c>
      <x:c r="B6" s="41" t="str">
        <x:v>Peak paid week by revenue</x:v>
      </x:c>
      <x:c r="C6" s="41" t="str">
        <x:v>2020-12-12</x:v>
      </x:c>
      <x:c r="D6" s="60" t="n">
        <x:v>3092.1</x:v>
      </x:c>
      <x:c r="E6" s="60" t="n">
        <x:v>928.51</x:v>
      </x:c>
      <x:c r="F6" s="61" t="n">
        <x:v>129</x:v>
      </x:c>
      <x:c r="G6" s="61" t="n">
        <x:v>278</x:v>
      </x:c>
      <x:c r="H6" s="62" t="n">
        <x:f>IF(E6&gt;0,D6/E6,"")</x:f>
        <x:v>3.3301741499822297</x:v>
      </x:c>
      <x:c r="I6" s="60" t="n">
        <x:f>IF(F6&gt;0,E6/F6,"")</x:f>
        <x:v>7.197751937984496</x:v>
      </x:c>
      <x:c r="J6" s="60" t="n">
        <x:f>IF(G6&gt;0,E6/G6,"")</x:f>
        <x:v>3.3399640287769783</x:v>
      </x:c>
      <x:c r="K6" s="41" t="str">
        <x:v>Peak paid week by revenue: $3,092 sales on $929 ad fees (3.33x ROAS, $7.20 ad cost/order).</x:v>
      </x:c>
      <x:c r="L6" s="41" t="str">
        <x:v>NAT PARK PROFITS.numbers &gt; Shopify Financials row 39</x:v>
      </x:c>
      <x:c r="M6" s="63" t="str">
        <x:v>Best single paid week by sales.</x:v>
      </x:c>
    </x:row>
    <x:row r="7">
      <x:c r="A7" s="59" t="str">
        <x:v>Flex-worthy</x:v>
      </x:c>
      <x:c r="B7" s="41" t="str">
        <x:v>Peak paid week by order volume</x:v>
      </x:c>
      <x:c r="C7" s="41" t="str">
        <x:v>2020-11-28</x:v>
      </x:c>
      <x:c r="D7" s="60" t="n">
        <x:v>2823.47</x:v>
      </x:c>
      <x:c r="E7" s="60" t="n">
        <x:v>1050.53</x:v>
      </x:c>
      <x:c r="F7" s="61" t="n">
        <x:v>149</x:v>
      </x:c>
      <x:c r="G7" s="61" t="n">
        <x:v>271</x:v>
      </x:c>
      <x:c r="H7" s="62" t="n">
        <x:f>IF(E7&gt;0,D7/E7,"")</x:f>
        <x:v>2.687662418017572</x:v>
      </x:c>
      <x:c r="I7" s="60" t="n">
        <x:f>IF(F7&gt;0,E7/F7,"")</x:f>
        <x:v>7.050536912751678</x:v>
      </x:c>
      <x:c r="J7" s="60" t="n">
        <x:f>IF(G7&gt;0,E7/G7,"")</x:f>
        <x:v>3.8764944649446496</x:v>
      </x:c>
      <x:c r="K7" s="41" t="str">
        <x:v>Peak paid week by order volume: $2,823 sales on $1,051 ad fees (2.69x ROAS, $7.05 ad cost/order).</x:v>
      </x:c>
      <x:c r="L7" s="41" t="str">
        <x:v>NAT PARK PROFITS.numbers &gt; Shopify Financials row 37</x:v>
      </x:c>
      <x:c r="M7" s="63" t="str">
        <x:v>149 orders in one week at low blended ad cost per order.</x:v>
      </x:c>
    </x:row>
    <x:row r="8">
      <x:c r="A8" s="59" t="str">
        <x:v>Flex-worthy</x:v>
      </x:c>
      <x:c r="B8" s="41" t="str">
        <x:v>Highest ROAS paid week above $300 sales</x:v>
      </x:c>
      <x:c r="C8" s="41" t="str">
        <x:v>2020-04-18</x:v>
      </x:c>
      <x:c r="D8" s="60" t="n">
        <x:v>425.7</x:v>
      </x:c>
      <x:c r="E8" s="60" t="n">
        <x:v>116.87</x:v>
      </x:c>
      <x:c r="F8" s="61" t="n">
        <x:v>21</x:v>
      </x:c>
      <x:c r="G8" s="61" t="n">
        <x:v>30</x:v>
      </x:c>
      <x:c r="H8" s="62" t="n">
        <x:f>IF(E8&gt;0,D8/E8,"")</x:f>
        <x:v>3.642508770428681</x:v>
      </x:c>
      <x:c r="I8" s="60" t="n">
        <x:f>IF(F8&gt;0,E8/F8,"")</x:f>
        <x:v>5.5652380952380955</x:v>
      </x:c>
      <x:c r="J8" s="60" t="n">
        <x:f>IF(G8&gt;0,E8/G8,"")</x:f>
        <x:v>3.8956666666666666</x:v>
      </x:c>
      <x:c r="K8" s="41" t="str">
        <x:v>Highest ROAS paid week above $300 sales: $426 sales on $117 ad fees (3.64x ROAS, $5.57 ad cost/order).</x:v>
      </x:c>
      <x:c r="L8" s="41" t="str">
        <x:v>NAT PARK PROFITS.numbers &gt; Shopify Financials row 5</x:v>
      </x:c>
      <x:c r="M8" s="63" t="str">
        <x:v>Small sample, good for internal color but less strong than month/season claims.</x:v>
      </x:c>
    </x:row>
    <x:row r="9">
      <x:c r="A9" s="59" t="str">
        <x:v>Flex-worthy</x:v>
      </x:c>
      <x:c r="B9" s="41" t="str">
        <x:v>Lowest CAC/order paid week with 20+ orders</x:v>
      </x:c>
      <x:c r="C9" s="41" t="str">
        <x:v>2020-04-18</x:v>
      </x:c>
      <x:c r="D9" s="60" t="n">
        <x:v>425.7</x:v>
      </x:c>
      <x:c r="E9" s="60" t="n">
        <x:v>116.87</x:v>
      </x:c>
      <x:c r="F9" s="61" t="n">
        <x:v>21</x:v>
      </x:c>
      <x:c r="G9" s="61" t="n">
        <x:v>30</x:v>
      </x:c>
      <x:c r="H9" s="62" t="n">
        <x:f>IF(E9&gt;0,D9/E9,"")</x:f>
        <x:v>3.642508770428681</x:v>
      </x:c>
      <x:c r="I9" s="60" t="n">
        <x:f>IF(F9&gt;0,E9/F9,"")</x:f>
        <x:v>5.5652380952380955</x:v>
      </x:c>
      <x:c r="J9" s="60" t="n">
        <x:f>IF(G9&gt;0,E9/G9,"")</x:f>
        <x:v>3.8956666666666666</x:v>
      </x:c>
      <x:c r="K9" s="41" t="str">
        <x:v>Lowest CAC/order paid week with 20+ orders: $426 sales on $117 ad fees (3.64x ROAS, $5.57 ad cost/order).</x:v>
      </x:c>
      <x:c r="L9" s="41" t="str">
        <x:v>NAT PARK PROFITS.numbers &gt; Shopify Financials row 5</x:v>
      </x:c>
      <x:c r="M9" s="63" t="str">
        <x:v>Same as highest ROAS week; use only if comfortable with small weekly sample.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1" hidden="0" customWidth="1"/>
    <x:col min="3" max="3" width="14" hidden="0" customWidth="1"/>
    <x:col min="4" max="4" width="14" hidden="0" customWidth="1"/>
    <x:col min="5" max="5" width="10" hidden="0" customWidth="1"/>
    <x:col min="6" max="6" width="10" hidden="0" customWidth="1"/>
    <x:col min="7" max="7" width="10" hidden="0" customWidth="1"/>
    <x:col min="8" max="8" width="16" hidden="0" customWidth="1"/>
    <x:col min="9" max="9" width="15" hidden="0" customWidth="1"/>
    <x:col min="10" max="10" width="18" hidden="0" customWidth="1"/>
    <x:col min="11" max="11" width="15" hidden="0" customWidth="1"/>
    <x:col min="12" max="12" width="14" hidden="0" customWidth="1"/>
    <x:col min="13" max="13" width="34" hidden="0" customWidth="1"/>
  </x:cols>
  <x:sheetData>
    <x:row r="1">
      <x:c r="A1" s="38" t="str">
        <x:v>Week Start</x:v>
      </x:c>
      <x:c r="B1" s="53" t="str">
        <x:v>Source Row</x:v>
      </x:c>
      <x:c r="C1" s="53" t="str">
        <x:v>Sales USD</x:v>
      </x:c>
      <x:c r="D1" s="53" t="str">
        <x:v>Ad Fees USD</x:v>
      </x:c>
      <x:c r="E1" s="53" t="str">
        <x:v>Orders</x:v>
      </x:c>
      <x:c r="F1" s="53" t="str">
        <x:v>Units Sold</x:v>
      </x:c>
      <x:c r="G1" s="53" t="str">
        <x:v>ROAS</x:v>
      </x:c>
      <x:c r="H1" s="53" t="str">
        <x:v>Ad Cost / Order</x:v>
      </x:c>
      <x:c r="I1" s="53" t="str">
        <x:v>Ad Cost / Unit</x:v>
      </x:c>
      <x:c r="J1" s="53" t="str">
        <x:v>Ad / Order Source</x:v>
      </x:c>
      <x:c r="K1" s="53" t="str">
        <x:v>Profit / Order</x:v>
      </x:c>
      <x:c r="L1" s="53" t="str">
        <x:v>Paid to Zach</x:v>
      </x:c>
      <x:c r="M1" s="39" t="str">
        <x:v>Window Tags</x:v>
      </x:c>
    </x:row>
    <x:row r="2">
      <x:c r="A2" s="66" t="n">
        <x:v>43932</x:v>
      </x:c>
      <x:c r="B2" s="40" t="n">
        <x:v>4</x:v>
      </x:c>
      <x:c r="C2" s="55" t="n">
        <x:v>230.84</x:v>
      </x:c>
      <x:c r="D2" s="55" t="n">
        <x:v>80.27</x:v>
      </x:c>
      <x:c r="E2" s="56" t="n">
        <x:v>13</x:v>
      </x:c>
      <x:c r="F2" s="56" t="n">
        <x:v>16</x:v>
      </x:c>
      <x:c r="G2" s="57" t="n">
        <x:f>IF(D2&gt;0,C2/D2,"")</x:f>
        <x:v>2.875794194593248</x:v>
      </x:c>
      <x:c r="H2" s="55" t="n">
        <x:f>IF(E2&gt;0,D2/E2,"")</x:f>
        <x:v>6.174615384615384</x:v>
      </x:c>
      <x:c r="I2" s="55" t="n">
        <x:f>IF(F2&gt;0,D2/F2,"")</x:f>
        <x:v>5.016875</x:v>
      </x:c>
      <x:c r="J2" s="55" t="n">
        <x:v>6.17461538461538</x:v>
      </x:c>
      <x:c r="K2" s="55" t="n">
        <x:v>3.45446153846156</x:v>
      </x:c>
      <x:c r="L2" s="55" t="n">
        <x:v>30</x:v>
      </x:c>
      <x:c r="M2" s="40" t="str">
        <x:v>2020 paid, Zach-linked window</x:v>
      </x:c>
    </x:row>
    <x:row r="3">
      <x:c r="A3" s="67" t="n">
        <x:v>43939</x:v>
      </x:c>
      <x:c r="B3" s="41" t="n">
        <x:v>5</x:v>
      </x:c>
      <x:c r="C3" s="60" t="n">
        <x:v>425.7</x:v>
      </x:c>
      <x:c r="D3" s="60" t="n">
        <x:v>116.87</x:v>
      </x:c>
      <x:c r="E3" s="61" t="n">
        <x:v>21</x:v>
      </x:c>
      <x:c r="F3" s="61" t="n">
        <x:v>30</x:v>
      </x:c>
      <x:c r="G3" s="62" t="n">
        <x:f>IF(D3&gt;0,C3/D3,"")</x:f>
        <x:v>3.642508770428681</x:v>
      </x:c>
      <x:c r="H3" s="60" t="n">
        <x:f>IF(E3&gt;0,D3/E3,"")</x:f>
        <x:v>5.5652380952380955</x:v>
      </x:c>
      <x:c r="I3" s="60" t="n">
        <x:f>IF(F3&gt;0,D3/F3,"")</x:f>
        <x:v>3.8956666666666666</x:v>
      </x:c>
      <x:c r="J3" s="60" t="n">
        <x:v>5.5652380952381</x:v>
      </x:c>
      <x:c r="K3" s="60" t="n">
        <x:v>6.12119047619051</x:v>
      </x:c>
      <x:c r="L3" s="60" t="n">
        <x:v>75.42</x:v>
      </x:c>
      <x:c r="M3" s="41" t="str">
        <x:v>2020 paid, Zach-linked window</x:v>
      </x:c>
    </x:row>
    <x:row r="4">
      <x:c r="A4" s="67" t="n">
        <x:v>43946</x:v>
      </x:c>
      <x:c r="B4" s="41" t="n">
        <x:v>6</x:v>
      </x:c>
      <x:c r="C4" s="60" t="n">
        <x:v>547.16</x:v>
      </x:c>
      <x:c r="D4" s="60" t="n">
        <x:v>176.93</x:v>
      </x:c>
      <x:c r="E4" s="61" t="n">
        <x:v>27</x:v>
      </x:c>
      <x:c r="F4" s="61" t="n">
        <x:v>38</x:v>
      </x:c>
      <x:c r="G4" s="62" t="n">
        <x:f>IF(D4&gt;0,C4/D4,"")</x:f>
        <x:v>3.0925224665121798</x:v>
      </x:c>
      <x:c r="H4" s="60" t="n">
        <x:f>IF(E4&gt;0,D4/E4,"")</x:f>
        <x:v>6.5529629629629635</x:v>
      </x:c>
      <x:c r="I4" s="60" t="n">
        <x:f>IF(F4&gt;0,D4/F4,"")</x:f>
        <x:v>4.656052631578947</x:v>
      </x:c>
      <x:c r="J4" s="60" t="n">
        <x:v>6.55296296296296</x:v>
      </x:c>
      <x:c r="K4" s="60" t="n">
        <x:v>5.1948888888889</x:v>
      </x:c>
      <x:c r="L4" s="60" t="n">
        <x:v>79.04</x:v>
      </x:c>
      <x:c r="M4" s="41" t="str">
        <x:v>2020 paid, Zach-linked window</x:v>
      </x:c>
    </x:row>
    <x:row r="5">
      <x:c r="A5" s="67" t="n">
        <x:v>43953</x:v>
      </x:c>
      <x:c r="B5" s="41" t="n">
        <x:v>7</x:v>
      </x:c>
      <x:c r="C5" s="60" t="n">
        <x:v>629.56</x:v>
      </x:c>
      <x:c r="D5" s="60" t="n">
        <x:v>270.27</x:v>
      </x:c>
      <x:c r="E5" s="61" t="n">
        <x:v>34</x:v>
      </x:c>
      <x:c r="F5" s="61" t="n">
        <x:v>44</x:v>
      </x:c>
      <x:c r="G5" s="62" t="n">
        <x:f>IF(D5&gt;0,C5/D5,"")</x:f>
        <x:v>2.329374329374329</x:v>
      </x:c>
      <x:c r="H5" s="60" t="n">
        <x:f>IF(E5&gt;0,D5/E5,"")</x:f>
        <x:v>7.949117647058823</x:v>
      </x:c>
      <x:c r="I5" s="60" t="n">
        <x:f>IF(F5&gt;0,D5/F5,"")</x:f>
        <x:v>6.142499999999999</x:v>
      </x:c>
      <x:c r="J5" s="60" t="n">
        <x:v>7.94911764705882</x:v>
      </x:c>
      <x:c r="K5" s="60" t="n">
        <x:v>2.55535294117647</x:v>
      </x:c>
      <x:c r="L5" s="60" t="n">
        <x:v>61.12</x:v>
      </x:c>
      <x:c r="M5" s="41" t="str">
        <x:v>2020 paid, Zach-linked window</x:v>
      </x:c>
    </x:row>
    <x:row r="6">
      <x:c r="A6" s="67" t="n">
        <x:v>43960</x:v>
      </x:c>
      <x:c r="B6" s="41" t="n">
        <x:v>8</x:v>
      </x:c>
      <x:c r="C6" s="60" t="n">
        <x:v>854.4</x:v>
      </x:c>
      <x:c r="D6" s="60" t="n">
        <x:v>257.67</x:v>
      </x:c>
      <x:c r="E6" s="61" t="n">
        <x:v>45</x:v>
      </x:c>
      <x:c r="F6" s="61" t="n">
        <x:v>60</x:v>
      </x:c>
      <x:c r="G6" s="62" t="n">
        <x:f>IF(D6&gt;0,C6/D6,"")</x:f>
        <x:v>3.3158691349400393</x:v>
      </x:c>
      <x:c r="H6" s="60" t="n">
        <x:f>IF(E6&gt;0,D6/E6,"")</x:f>
        <x:v>5.726</x:v>
      </x:c>
      <x:c r="I6" s="60" t="n">
        <x:f>IF(F6&gt;0,D6/F6,"")</x:f>
        <x:v>4.2945</x:v>
      </x:c>
      <x:c r="J6" s="60" t="n">
        <x:v>5.726</x:v>
      </x:c>
      <x:c r="K6" s="60" t="n">
        <x:v>5.28688888888892</x:v>
      </x:c>
      <x:c r="L6" s="60" t="n">
        <x:v>137.76</x:v>
      </x:c>
      <x:c r="M6" s="41" t="str">
        <x:v>2020 paid, Zach-linked window</x:v>
      </x:c>
    </x:row>
    <x:row r="7">
      <x:c r="A7" s="67" t="n">
        <x:v>43967</x:v>
      </x:c>
      <x:c r="B7" s="41" t="n">
        <x:v>9</x:v>
      </x:c>
      <x:c r="C7" s="60" t="n">
        <x:v>932.36</x:v>
      </x:c>
      <x:c r="D7" s="60" t="n">
        <x:v>352.59</x:v>
      </x:c>
      <x:c r="E7" s="61" t="n">
        <x:v>55</x:v>
      </x:c>
      <x:c r="F7" s="61" t="n">
        <x:v>64</x:v>
      </x:c>
      <x:c r="G7" s="62" t="n">
        <x:f>IF(D7&gt;0,C7/D7,"")</x:f>
        <x:v>2.6443177628406933</x:v>
      </x:c>
      <x:c r="H7" s="60" t="n">
        <x:f>IF(E7&gt;0,D7/E7,"")</x:f>
        <x:v>6.410727272727272</x:v>
      </x:c>
      <x:c r="I7" s="60" t="n">
        <x:f>IF(F7&gt;0,D7/F7,"")</x:f>
        <x:v>5.50921875</x:v>
      </x:c>
      <x:c r="J7" s="60" t="n">
        <x:v>6.41072727272727</x:v>
      </x:c>
      <x:c r="K7" s="60" t="n">
        <x:v>3.0504</x:v>
      </x:c>
      <x:c r="L7" s="60" t="n">
        <x:v>112.59</x:v>
      </x:c>
      <x:c r="M7" s="41" t="str">
        <x:v>2020 paid, Zach-linked window</x:v>
      </x:c>
    </x:row>
    <x:row r="8">
      <x:c r="A8" s="67" t="n">
        <x:v>43974</x:v>
      </x:c>
      <x:c r="B8" s="41" t="n">
        <x:v>10</x:v>
      </x:c>
      <x:c r="C8" s="60" t="n">
        <x:v>977.42</x:v>
      </x:c>
      <x:c r="D8" s="60" t="n">
        <x:v>450.62</x:v>
      </x:c>
      <x:c r="E8" s="61" t="n">
        <x:v>55</x:v>
      </x:c>
      <x:c r="F8" s="61" t="n">
        <x:v>68</x:v>
      </x:c>
      <x:c r="G8" s="62" t="n">
        <x:f>IF(D8&gt;0,C8/D8,"")</x:f>
        <x:v>2.1690559673338954</x:v>
      </x:c>
      <x:c r="H8" s="60" t="n">
        <x:f>IF(E8&gt;0,D8/E8,"")</x:f>
        <x:v>8.193090909090909</x:v>
      </x:c>
      <x:c r="I8" s="60" t="n">
        <x:f>IF(F8&gt;0,D8/F8,"")</x:f>
        <x:v>6.626764705882353</x:v>
      </x:c>
      <x:c r="J8" s="60" t="n">
        <x:v>8.19309090909091</x:v>
      </x:c>
      <x:c r="K8" s="60" t="n">
        <x:v>1.83034545454543</x:v>
      </x:c>
      <x:c r="L8" s="60" t="n">
        <x:v>75.63</x:v>
      </x:c>
      <x:c r="M8" s="41" t="str">
        <x:v>2020 paid, Zach-linked window</x:v>
      </x:c>
    </x:row>
    <x:row r="9">
      <x:c r="A9" s="67" t="n">
        <x:v>43981</x:v>
      </x:c>
      <x:c r="B9" s="41" t="n">
        <x:v>11</x:v>
      </x:c>
      <x:c r="C9" s="60" t="n">
        <x:v>1013.28</x:v>
      </x:c>
      <x:c r="D9" s="60" t="n">
        <x:v>397.77</x:v>
      </x:c>
      <x:c r="E9" s="61" t="n">
        <x:v>53</x:v>
      </x:c>
      <x:c r="F9" s="61" t="n">
        <x:v>73</x:v>
      </x:c>
      <x:c r="G9" s="62" t="n">
        <x:f>IF(D9&gt;0,C9/D9,"")</x:f>
        <x:v>2.5474017648389773</x:v>
      </x:c>
      <x:c r="H9" s="60" t="n">
        <x:f>IF(E9&gt;0,D9/E9,"")</x:f>
        <x:v>7.505094339622641</x:v>
      </x:c>
      <x:c r="I9" s="60" t="n">
        <x:f>IF(F9&gt;0,D9/F9,"")</x:f>
        <x:v>5.448904109589041</x:v>
      </x:c>
      <x:c r="J9" s="60" t="n">
        <x:v>7.50509433962264</x:v>
      </x:c>
      <x:c r="K9" s="60" t="n">
        <x:v>3.39879245283016</x:v>
      </x:c>
      <x:c r="L9" s="60" t="n">
        <x:v>93.38</x:v>
      </x:c>
      <x:c r="M9" s="41" t="str">
        <x:v>2020 paid, Zach-linked window</x:v>
      </x:c>
    </x:row>
    <x:row r="10">
      <x:c r="A10" s="67" t="n">
        <x:v>43988</x:v>
      </x:c>
      <x:c r="B10" s="41" t="n">
        <x:v>12</x:v>
      </x:c>
      <x:c r="C10" s="60" t="n">
        <x:v>851.23</x:v>
      </x:c>
      <x:c r="D10" s="60" t="n">
        <x:v>368.56</x:v>
      </x:c>
      <x:c r="E10" s="61" t="n">
        <x:v>48</x:v>
      </x:c>
      <x:c r="F10" s="61" t="n">
        <x:v>58</x:v>
      </x:c>
      <x:c r="G10" s="62" t="n">
        <x:f>IF(D10&gt;0,C10/D10,"")</x:f>
        <x:v>2.3096103755155197</x:v>
      </x:c>
      <x:c r="H10" s="60" t="n">
        <x:f>IF(E10&gt;0,D10/E10,"")</x:f>
        <x:v>7.678333333333334</x:v>
      </x:c>
      <x:c r="I10" s="60" t="n">
        <x:f>IF(F10&gt;0,D10/F10,"")</x:f>
        <x:v>6.35448275862069</x:v>
      </x:c>
      <x:c r="J10" s="60" t="n">
        <x:v>7.67833333333333</x:v>
      </x:c>
      <x:c r="K10" s="60" t="n">
        <x:v>2.28413541666663</x:v>
      </x:c>
      <x:c r="L10" s="60" t="n">
        <x:v>54.82</x:v>
      </x:c>
      <x:c r="M10" s="41" t="str">
        <x:v>2020 paid, Zach-linked window</x:v>
      </x:c>
    </x:row>
    <x:row r="11">
      <x:c r="A11" s="67" t="n">
        <x:v>43995</x:v>
      </x:c>
      <x:c r="B11" s="41" t="n">
        <x:v>13</x:v>
      </x:c>
      <x:c r="C11" s="60" t="n">
        <x:v>854.26</x:v>
      </x:c>
      <x:c r="D11" s="60" t="n">
        <x:v>435.4</x:v>
      </x:c>
      <x:c r="E11" s="61" t="n">
        <x:v>45</x:v>
      </x:c>
      <x:c r="F11" s="61" t="n">
        <x:v>60</x:v>
      </x:c>
      <x:c r="G11" s="62" t="n">
        <x:f>IF(D11&gt;0,C11/D11,"")</x:f>
        <x:v>1.962011943040882</x:v>
      </x:c>
      <x:c r="H11" s="60" t="n">
        <x:f>IF(E11&gt;0,D11/E11,"")</x:f>
        <x:v>9.675555555555555</x:v>
      </x:c>
      <x:c r="I11" s="60" t="n">
        <x:f>IF(F11&gt;0,D11/F11,"")</x:f>
        <x:v>7.256666666666666</x:v>
      </x:c>
      <x:c r="J11" s="60" t="n">
        <x:v>9.67555555555556</x:v>
      </x:c>
      <x:c r="K11" s="60" t="n">
        <x:v>1.15882222222227</x:v>
      </x:c>
      <x:c r="L11" s="60" t="n">
        <x:v>26.07</x:v>
      </x:c>
      <x:c r="M11" s="41" t="str">
        <x:v>2020 paid, Zach-linked window</x:v>
      </x:c>
    </x:row>
    <x:row r="12">
      <x:c r="A12" s="67" t="n">
        <x:v>44002</x:v>
      </x:c>
      <x:c r="B12" s="41" t="n">
        <x:v>14</x:v>
      </x:c>
      <x:c r="C12" s="60" t="n">
        <x:v>806.45</x:v>
      </x:c>
      <x:c r="D12" s="60" t="n">
        <x:v>430.99</x:v>
      </x:c>
      <x:c r="E12" s="61" t="n">
        <x:v>49</x:v>
      </x:c>
      <x:c r="F12" s="61" t="n">
        <x:v>55</x:v>
      </x:c>
      <x:c r="G12" s="62" t="n">
        <x:f>IF(D12&gt;0,C12/D12,"")</x:f>
        <x:v>1.8711571034130723</x:v>
      </x:c>
      <x:c r="H12" s="60" t="n">
        <x:f>IF(E12&gt;0,D12/E12,"")</x:f>
        <x:v>8.795714285714286</x:v>
      </x:c>
      <x:c r="I12" s="60" t="n">
        <x:f>IF(F12&gt;0,D12/F12,"")</x:f>
        <x:v>7.836181818181818</x:v>
      </x:c>
      <x:c r="J12" s="60" t="n">
        <x:v>8.79571428571429</x:v>
      </x:c>
      <x:c r="K12" s="60" t="n">
        <x:v>0.30178571428569</x:v>
      </x:c>
      <x:c r="L12" s="60" t="n">
        <x:v>7.39</x:v>
      </x:c>
      <x:c r="M12" s="41" t="str">
        <x:v>2020 paid, Zach-linked window</x:v>
      </x:c>
    </x:row>
    <x:row r="13">
      <x:c r="A13" s="67" t="n">
        <x:v>44009</x:v>
      </x:c>
      <x:c r="B13" s="41" t="n">
        <x:v>15</x:v>
      </x:c>
      <x:c r="C13" s="60" t="n">
        <x:v>824.43</x:v>
      </x:c>
      <x:c r="D13" s="60" t="n">
        <x:v>419.54</x:v>
      </x:c>
      <x:c r="E13" s="61" t="n">
        <x:v>47</x:v>
      </x:c>
      <x:c r="F13" s="61" t="n">
        <x:v>57</x:v>
      </x:c>
      <x:c r="G13" s="62" t="n">
        <x:f>IF(D13&gt;0,C13/D13,"")</x:f>
        <x:v>1.9650808027840012</x:v>
      </x:c>
      <x:c r="H13" s="60" t="n">
        <x:f>IF(E13&gt;0,D13/E13,"")</x:f>
        <x:v>8.926382978723405</x:v>
      </x:c>
      <x:c r="I13" s="60" t="n">
        <x:f>IF(F13&gt;0,D13/F13,"")</x:f>
        <x:v>7.360350877192983</x:v>
      </x:c>
      <x:c r="J13" s="60" t="n">
        <x:v>8.9263829787234</x:v>
      </x:c>
      <x:c r="K13" s="60" t="n">
        <x:v>0.93252127659571</x:v>
      </x:c>
      <x:c r="L13" s="60" t="n">
        <x:v>0</x:v>
      </x:c>
      <x:c r="M13" s="41" t="str">
        <x:v>2020 paid, Zach-linked window</x:v>
      </x:c>
    </x:row>
    <x:row r="14">
      <x:c r="A14" s="67" t="n">
        <x:v>44016</x:v>
      </x:c>
      <x:c r="B14" s="41" t="n">
        <x:v>16</x:v>
      </x:c>
      <x:c r="C14" s="60" t="n">
        <x:v>626.56</x:v>
      </x:c>
      <x:c r="D14" s="60" t="n">
        <x:v>394.46</x:v>
      </x:c>
      <x:c r="E14" s="61" t="n">
        <x:v>33</x:v>
      </x:c>
      <x:c r="F14" s="61" t="n">
        <x:v>44</x:v>
      </x:c>
      <x:c r="G14" s="62" t="n">
        <x:f>IF(D14&gt;0,C14/D14,"")</x:f>
        <x:v>1.588399330730619</x:v>
      </x:c>
      <x:c r="H14" s="60" t="n">
        <x:f>IF(E14&gt;0,D14/E14,"")</x:f>
        <x:v>11.953333333333333</x:v>
      </x:c>
      <x:c r="I14" s="60" t="n">
        <x:f>IF(F14&gt;0,D14/F14,"")</x:f>
        <x:v>8.965</x:v>
      </x:c>
      <x:c r="J14" s="60" t="n">
        <x:v>11.9533333333333</x:v>
      </x:c>
      <x:c r="K14" s="60" t="n">
        <x:v>-1.13206060606058</x:v>
      </x:c>
      <x:c r="L14" s="60" t="n">
        <x:v>0</x:v>
      </x:c>
      <x:c r="M14" s="41" t="str">
        <x:v>2020 paid, Zach-linked window</x:v>
      </x:c>
    </x:row>
    <x:row r="15">
      <x:c r="A15" s="67" t="n">
        <x:v>44023</x:v>
      </x:c>
      <x:c r="B15" s="41" t="n">
        <x:v>17</x:v>
      </x:c>
      <x:c r="C15" s="60" t="n">
        <x:v>842.48</x:v>
      </x:c>
      <x:c r="D15" s="60" t="n">
        <x:v>392.93</x:v>
      </x:c>
      <x:c r="E15" s="61" t="n">
        <x:v>45</x:v>
      </x:c>
      <x:c r="F15" s="61" t="n">
        <x:v>52</x:v>
      </x:c>
      <x:c r="G15" s="62" t="n">
        <x:f>IF(D15&gt;0,C15/D15,"")</x:f>
        <x:v>2.1440969129361465</x:v>
      </x:c>
      <x:c r="H15" s="60" t="n">
        <x:f>IF(E15&gt;0,D15/E15,"")</x:f>
        <x:v>8.731777777777777</x:v>
      </x:c>
      <x:c r="I15" s="60" t="n">
        <x:f>IF(F15&gt;0,D15/F15,"")</x:f>
        <x:v>7.556346153846154</x:v>
      </x:c>
      <x:c r="J15" s="60" t="n">
        <x:v>8.73177777777778</x:v>
      </x:c>
      <x:c r="K15" s="60" t="n">
        <x:v>2.20235555555558</x:v>
      </x:c>
      <x:c r="L15" s="60" t="n">
        <x:v>49.55</x:v>
      </x:c>
      <x:c r="M15" s="41" t="str">
        <x:v>2020 paid, Zach-linked window</x:v>
      </x:c>
    </x:row>
    <x:row r="16">
      <x:c r="A16" s="67" t="n">
        <x:v>44030</x:v>
      </x:c>
      <x:c r="B16" s="41" t="n">
        <x:v>18</x:v>
      </x:c>
      <x:c r="C16" s="60" t="n">
        <x:v>1129.38</x:v>
      </x:c>
      <x:c r="D16" s="60" t="n">
        <x:v>419.13</x:v>
      </x:c>
      <x:c r="E16" s="61" t="n">
        <x:v>54</x:v>
      </x:c>
      <x:c r="F16" s="61" t="n">
        <x:v>62</x:v>
      </x:c>
      <x:c r="G16" s="62" t="n">
        <x:f>IF(D16&gt;0,C16/D16,"")</x:f>
        <x:v>2.6945816333834376</x:v>
      </x:c>
      <x:c r="H16" s="60" t="n">
        <x:f>IF(E16&gt;0,D16/E16,"")</x:f>
        <x:v>7.761666666666667</x:v>
      </x:c>
      <x:c r="I16" s="60" t="n">
        <x:f>IF(F16&gt;0,D16/F16,"")</x:f>
        <x:v>6.76016129032258</x:v>
      </x:c>
      <x:c r="J16" s="60" t="n">
        <x:v>7.76166666666667</x:v>
      </x:c>
      <x:c r="K16" s="60" t="n">
        <x:v>5.2859444444444</x:v>
      </x:c>
      <x:c r="L16" s="60" t="n">
        <x:v>142.72</x:v>
      </x:c>
      <x:c r="M16" s="41" t="str">
        <x:v>2020 paid, Zach-linked window</x:v>
      </x:c>
    </x:row>
    <x:row r="17">
      <x:c r="A17" s="67" t="n">
        <x:v>44037</x:v>
      </x:c>
      <x:c r="B17" s="41" t="n">
        <x:v>19</x:v>
      </x:c>
      <x:c r="C17" s="60" t="n">
        <x:v>618.66</x:v>
      </x:c>
      <x:c r="D17" s="60" t="n">
        <x:v>428.79</x:v>
      </x:c>
      <x:c r="E17" s="61" t="n">
        <x:v>36</x:v>
      </x:c>
      <x:c r="F17" s="61" t="n">
        <x:v>49</x:v>
      </x:c>
      <x:c r="G17" s="62" t="n">
        <x:f>IF(D17&gt;0,C17/D17,"")</x:f>
        <x:v>1.4428041698733645</x:v>
      </x:c>
      <x:c r="H17" s="60" t="n">
        <x:f>IF(E17&gt;0,D17/E17,"")</x:f>
        <x:v>11.910833333333334</x:v>
      </x:c>
      <x:c r="I17" s="60" t="n">
        <x:f>IF(F17&gt;0,D17/F17,"")</x:f>
        <x:v>8.750816326530613</x:v>
      </x:c>
      <x:c r="J17" s="60" t="n">
        <x:v>11.9108333333333</x:v>
      </x:c>
      <x:c r="K17" s="60" t="n">
        <x:v>-2.78008333333337</x:v>
      </x:c>
      <x:c r="L17" s="60" t="n">
        <x:v>0</x:v>
      </x:c>
      <x:c r="M17" s="41" t="str">
        <x:v>2020 paid, Zach-linked window</x:v>
      </x:c>
    </x:row>
    <x:row r="18">
      <x:c r="A18" s="67" t="n">
        <x:v>44044</x:v>
      </x:c>
      <x:c r="B18" s="41" t="n">
        <x:v>20</x:v>
      </x:c>
      <x:c r="C18" s="60" t="n">
        <x:v>1190.36</x:v>
      </x:c>
      <x:c r="D18" s="60" t="n">
        <x:v>488.46</x:v>
      </x:c>
      <x:c r="E18" s="61" t="n">
        <x:v>57</x:v>
      </x:c>
      <x:c r="F18" s="61" t="n">
        <x:v>91</x:v>
      </x:c>
      <x:c r="G18" s="62" t="n">
        <x:f>IF(D18&gt;0,C18/D18,"")</x:f>
        <x:v>2.4369651557957663</x:v>
      </x:c>
      <x:c r="H18" s="60" t="n">
        <x:f>IF(E18&gt;0,D18/E18,"")</x:f>
        <x:v>8.569473684210527</x:v>
      </x:c>
      <x:c r="I18" s="60" t="n">
        <x:f>IF(F18&gt;0,D18/F18,"")</x:f>
        <x:v>5.367692307692307</x:v>
      </x:c>
      <x:c r="J18" s="60" t="n">
        <x:v>8.56947368421053</x:v>
      </x:c>
      <x:c r="K18" s="60" t="n">
        <x:v>3.50424561403506</x:v>
      </x:c>
      <x:c r="L18" s="60" t="n">
        <x:v>128.9</x:v>
      </x:c>
      <x:c r="M18" s="41" t="str">
        <x:v>2020 paid, Zach-linked window</x:v>
      </x:c>
    </x:row>
    <x:row r="19">
      <x:c r="A19" s="67" t="n">
        <x:v>44051</x:v>
      </x:c>
      <x:c r="B19" s="41" t="n">
        <x:v>21</x:v>
      </x:c>
      <x:c r="C19" s="60" t="n">
        <x:v>777.55</x:v>
      </x:c>
      <x:c r="D19" s="60" t="n">
        <x:v>432.46</x:v>
      </x:c>
      <x:c r="E19" s="61" t="n">
        <x:v>42</x:v>
      </x:c>
      <x:c r="F19" s="61" t="n">
        <x:v>57</x:v>
      </x:c>
      <x:c r="G19" s="62" t="n">
        <x:f>IF(D19&gt;0,C19/D19,"")</x:f>
        <x:v>1.7979697544281552</x:v>
      </x:c>
      <x:c r="H19" s="60" t="n">
        <x:f>IF(E19&gt;0,D19/E19,"")</x:f>
        <x:v>10.296666666666667</x:v>
      </x:c>
      <x:c r="I19" s="60" t="n">
        <x:f>IF(F19&gt;0,D19/F19,"")</x:f>
        <x:v>7.587017543859648</x:v>
      </x:c>
      <x:c r="J19" s="60" t="n">
        <x:v>10.2966666666667</x:v>
      </x:c>
      <x:c r="K19" s="60" t="n">
        <x:v>0.1569642857142</x:v>
      </x:c>
      <x:c r="L19" s="60" t="n">
        <x:v>0</x:v>
      </x:c>
      <x:c r="M19" s="41" t="str">
        <x:v>2020 paid, Zach-linked window</x:v>
      </x:c>
    </x:row>
    <x:row r="20">
      <x:c r="A20" s="67" t="n">
        <x:v>44058</x:v>
      </x:c>
      <x:c r="B20" s="41" t="n">
        <x:v>22</x:v>
      </x:c>
      <x:c r="C20" s="60" t="n">
        <x:v>1021.48</x:v>
      </x:c>
      <x:c r="D20" s="60" t="n">
        <x:v>319.42</x:v>
      </x:c>
      <x:c r="E20" s="61" t="n">
        <x:v>48</x:v>
      </x:c>
      <x:c r="F20" s="61" t="n">
        <x:v>80</x:v>
      </x:c>
      <x:c r="G20" s="62" t="n">
        <x:f>IF(D20&gt;0,C20/D20,"")</x:f>
        <x:v>3.197921232233423</x:v>
      </x:c>
      <x:c r="H20" s="60" t="n">
        <x:f>IF(E20&gt;0,D20/E20,"")</x:f>
        <x:v>6.654583333333334</x:v>
      </x:c>
      <x:c r="I20" s="60" t="n">
        <x:f>IF(F20&gt;0,D20/F20,"")</x:f>
        <x:v>3.99275</x:v>
      </x:c>
      <x:c r="J20" s="60" t="n">
        <x:v>6.65458333333333</x:v>
      </x:c>
      <x:c r="K20" s="60" t="n">
        <x:v>5.5753333333333</x:v>
      </x:c>
      <x:c r="L20" s="60" t="n">
        <x:v>163.07</x:v>
      </x:c>
      <x:c r="M20" s="41" t="str">
        <x:v>2020 paid, Zach-linked window</x:v>
      </x:c>
    </x:row>
    <x:row r="21">
      <x:c r="A21" s="67" t="n">
        <x:v>44065</x:v>
      </x:c>
      <x:c r="B21" s="41" t="n">
        <x:v>23</x:v>
      </x:c>
      <x:c r="C21" s="60" t="n">
        <x:v>1006.47</x:v>
      </x:c>
      <x:c r="D21" s="60" t="n">
        <x:v>368.97</x:v>
      </x:c>
      <x:c r="E21" s="61" t="n">
        <x:v>49</x:v>
      </x:c>
      <x:c r="F21" s="61" t="n">
        <x:v>77</x:v>
      </x:c>
      <x:c r="G21" s="62" t="n">
        <x:f>IF(D21&gt;0,C21/D21,"")</x:f>
        <x:v>2.727782746564761</x:v>
      </x:c>
      <x:c r="H21" s="60" t="n">
        <x:f>IF(E21&gt;0,D21/E21,"")</x:f>
        <x:v>7.53</x:v>
      </x:c>
      <x:c r="I21" s="60" t="n">
        <x:f>IF(F21&gt;0,D21/F21,"")</x:f>
        <x:v>4.791818181818182</x:v>
      </x:c>
      <x:c r="J21" s="60" t="n">
        <x:v>7.53</x:v>
      </x:c>
      <x:c r="K21" s="60" t="n">
        <x:v>4.25094897959188</x:v>
      </x:c>
      <x:c r="L21" s="60" t="n">
        <x:v>75.24</x:v>
      </x:c>
      <x:c r="M21" s="41" t="str">
        <x:v>2020 paid, Zach-linked window</x:v>
      </x:c>
    </x:row>
    <x:row r="22">
      <x:c r="A22" s="67" t="n">
        <x:v>44072</x:v>
      </x:c>
      <x:c r="B22" s="41" t="n">
        <x:v>24</x:v>
      </x:c>
      <x:c r="C22" s="60" t="n">
        <x:v>701.66</x:v>
      </x:c>
      <x:c r="D22" s="60" t="n">
        <x:v>404.35</x:v>
      </x:c>
      <x:c r="E22" s="61" t="n">
        <x:v>32</x:v>
      </x:c>
      <x:c r="F22" s="61" t="n">
        <x:v>56</x:v>
      </x:c>
      <x:c r="G22" s="62" t="n">
        <x:f>IF(D22&gt;0,C22/D22,"")</x:f>
        <x:v>1.7352788425868677</x:v>
      </x:c>
      <x:c r="H22" s="60" t="n">
        <x:f>IF(E22&gt;0,D22/E22,"")</x:f>
        <x:v>12.6359375</x:v>
      </x:c>
      <x:c r="I22" s="60" t="n">
        <x:f>IF(F22&gt;0,D22/F22,"")</x:f>
        <x:v>7.220535714285715</x:v>
      </x:c>
      <x:c r="J22" s="60" t="n">
        <x:v>12.6359375</x:v>
      </x:c>
      <x:c r="K22" s="60" t="n">
        <x:v>-0.11071875</x:v>
      </x:c>
      <x:c r="L22" s="60" t="n">
        <x:v>-1.77</x:v>
      </x:c>
      <x:c r="M22" s="41" t="str">
        <x:v>2020 paid, Zach-linked window</x:v>
      </x:c>
    </x:row>
    <x:row r="23">
      <x:c r="A23" s="67" t="n">
        <x:v>44079</x:v>
      </x:c>
      <x:c r="B23" s="41" t="n">
        <x:v>25</x:v>
      </x:c>
      <x:c r="C23" s="60" t="n">
        <x:v>677.59</x:v>
      </x:c>
      <x:c r="D23" s="60" t="n">
        <x:v>393.21</x:v>
      </x:c>
      <x:c r="E23" s="61" t="n">
        <x:v>37</x:v>
      </x:c>
      <x:c r="F23" s="61" t="n">
        <x:v>50</x:v>
      </x:c>
      <x:c r="G23" s="62" t="n">
        <x:f>IF(D23&gt;0,C23/D23,"")</x:f>
        <x:v>1.7232267744970882</x:v>
      </x:c>
      <x:c r="H23" s="60" t="n">
        <x:f>IF(E23&gt;0,D23/E23,"")</x:f>
        <x:v>10.627297297297297</x:v>
      </x:c>
      <x:c r="I23" s="60" t="n">
        <x:f>IF(F23&gt;0,D23/F23,"")</x:f>
        <x:v>7.864199999999999</x:v>
      </x:c>
      <x:c r="J23" s="60" t="n">
        <x:v>10.6272972972973</x:v>
      </x:c>
      <x:c r="K23" s="60" t="n">
        <x:v>-0.36620270270278</x:v>
      </x:c>
      <x:c r="L23" s="60" t="n">
        <x:v>-6.77</x:v>
      </x:c>
      <x:c r="M23" s="41" t="str">
        <x:v>2020 paid, Zach-linked window</x:v>
      </x:c>
    </x:row>
    <x:row r="24">
      <x:c r="A24" s="67" t="n">
        <x:v>44086</x:v>
      </x:c>
      <x:c r="B24" s="41" t="n">
        <x:v>26</x:v>
      </x:c>
      <x:c r="C24" s="60" t="n">
        <x:v>624.61</x:v>
      </x:c>
      <x:c r="D24" s="60" t="n">
        <x:v>395.76</x:v>
      </x:c>
      <x:c r="E24" s="61" t="n">
        <x:v>33</x:v>
      </x:c>
      <x:c r="F24" s="61" t="n">
        <x:v>45</x:v>
      </x:c>
      <x:c r="G24" s="62" t="n">
        <x:f>IF(D24&gt;0,C24/D24,"")</x:f>
        <x:v>1.578254497675359</x:v>
      </x:c>
      <x:c r="H24" s="60" t="n">
        <x:f>IF(E24&gt;0,D24/E24,"")</x:f>
        <x:v>11.992727272727272</x:v>
      </x:c>
      <x:c r="I24" s="60" t="n">
        <x:f>IF(F24&gt;0,D24/F24,"")</x:f>
        <x:v>8.794666666666666</x:v>
      </x:c>
      <x:c r="J24" s="60" t="n">
        <x:v>11.9927272727273</x:v>
      </x:c>
      <x:c r="K24" s="60" t="n">
        <x:v>-1.17668181818179</x:v>
      </x:c>
      <x:c r="L24" s="60" t="n">
        <x:v>-19.42</x:v>
      </x:c>
      <x:c r="M24" s="41" t="str">
        <x:v>2020 paid, Zach-linked window</x:v>
      </x:c>
    </x:row>
    <x:row r="25">
      <x:c r="A25" s="67" t="n">
        <x:v>44093</x:v>
      </x:c>
      <x:c r="B25" s="41" t="n">
        <x:v>27</x:v>
      </x:c>
      <x:c r="C25" s="60" t="n">
        <x:v>500.72</x:v>
      </x:c>
      <x:c r="D25" s="60" t="n">
        <x:v>289.24</x:v>
      </x:c>
      <x:c r="E25" s="61" t="n">
        <x:v>25</x:v>
      </x:c>
      <x:c r="F25" s="61" t="n">
        <x:v>37</x:v>
      </x:c>
      <x:c r="G25" s="62" t="n">
        <x:f>IF(D25&gt;0,C25/D25,"")</x:f>
        <x:v>1.7311575162494814</x:v>
      </x:c>
      <x:c r="H25" s="60" t="n">
        <x:f>IF(E25&gt;0,D25/E25,"")</x:f>
        <x:v>11.569600000000001</x:v>
      </x:c>
      <x:c r="I25" s="60" t="n">
        <x:f>IF(F25&gt;0,D25/F25,"")</x:f>
        <x:v>7.817297297297298</x:v>
      </x:c>
      <x:c r="J25" s="60" t="n">
        <x:v>11.5696</x:v>
      </x:c>
      <x:c r="K25" s="60" t="n">
        <x:v>-0.19024</x:v>
      </x:c>
      <x:c r="L25" s="60" t="n">
        <x:v>-2.38</x:v>
      </x:c>
      <x:c r="M25" s="41" t="str">
        <x:v>2020 paid, Zach-linked window</x:v>
      </x:c>
    </x:row>
    <x:row r="26">
      <x:c r="A26" s="67" t="n">
        <x:v>44100</x:v>
      </x:c>
      <x:c r="B26" s="41" t="n">
        <x:v>28</x:v>
      </x:c>
      <x:c r="C26" s="60" t="n">
        <x:v>428.79</x:v>
      </x:c>
      <x:c r="D26" s="60" t="n">
        <x:v>291.28</x:v>
      </x:c>
      <x:c r="E26" s="61" t="n">
        <x:v>20</x:v>
      </x:c>
      <x:c r="F26" s="61" t="n">
        <x:v>33</x:v>
      </x:c>
      <x:c r="G26" s="62" t="n">
        <x:f>IF(D26&gt;0,C26/D26,"")</x:f>
        <x:v>1.4720887118923376</x:v>
      </x:c>
      <x:c r="H26" s="60" t="n">
        <x:f>IF(E26&gt;0,D26/E26,"")</x:f>
        <x:v>14.563999999999998</x:v>
      </x:c>
      <x:c r="I26" s="60" t="n">
        <x:f>IF(F26&gt;0,D26/F26,"")</x:f>
        <x:v>8.826666666666666</x:v>
      </x:c>
      <x:c r="J26" s="60" t="n">
        <x:v>14.564</x:v>
      </x:c>
      <x:c r="K26" s="60" t="n">
        <x:v>-2.395475</x:v>
      </x:c>
      <x:c r="L26" s="60" t="n">
        <x:v>-23.05</x:v>
      </x:c>
      <x:c r="M26" s="41" t="str">
        <x:v>2020 paid, Zach-linked window</x:v>
      </x:c>
    </x:row>
    <x:row r="27">
      <x:c r="A27" s="67" t="n">
        <x:v>44107</x:v>
      </x:c>
      <x:c r="B27" s="41" t="n">
        <x:v>29</x:v>
      </x:c>
      <x:c r="C27" s="60" t="n">
        <x:v>499.74</x:v>
      </x:c>
      <x:c r="D27" s="60" t="n">
        <x:v>251.04</x:v>
      </x:c>
      <x:c r="E27" s="61" t="n">
        <x:v>26</x:v>
      </x:c>
      <x:c r="F27" s="61" t="n">
        <x:v>38</x:v>
      </x:c>
      <x:c r="G27" s="62" t="n">
        <x:f>IF(D27&gt;0,C27/D27,"")</x:f>
        <x:v>1.990678776290631</x:v>
      </x:c>
      <x:c r="H27" s="60" t="n">
        <x:f>IF(E27&gt;0,D27/E27,"")</x:f>
        <x:v>9.655384615384616</x:v>
      </x:c>
      <x:c r="I27" s="60" t="n">
        <x:f>IF(F27&gt;0,D27/F27,"")</x:f>
        <x:v>6.606315789473684</x:v>
      </x:c>
      <x:c r="J27" s="60" t="n">
        <x:v>9.65538461538462</x:v>
      </x:c>
      <x:c r="K27" s="60" t="n">
        <x:v>1.02203846153845</x:v>
      </x:c>
      <x:c r="L27" s="60" t="n">
        <x:v>13.29</x:v>
      </x:c>
      <x:c r="M27" s="41" t="str">
        <x:v>2020 paid, Zach-linked window</x:v>
      </x:c>
    </x:row>
    <x:row r="28">
      <x:c r="A28" s="67" t="n">
        <x:v>44114</x:v>
      </x:c>
      <x:c r="B28" s="41" t="n">
        <x:v>30</x:v>
      </x:c>
      <x:c r="C28" s="60" t="n">
        <x:v>530.67</x:v>
      </x:c>
      <x:c r="D28" s="60" t="n">
        <x:v>250.08</x:v>
      </x:c>
      <x:c r="E28" s="61" t="n">
        <x:v>25</x:v>
      </x:c>
      <x:c r="F28" s="61" t="n">
        <x:v>39</x:v>
      </x:c>
      <x:c r="G28" s="62" t="n">
        <x:f>IF(D28&gt;0,C28/D28,"")</x:f>
        <x:v>2.122000959692898</x:v>
      </x:c>
      <x:c r="H28" s="60" t="n">
        <x:f>IF(E28&gt;0,D28/E28,"")</x:f>
        <x:v>10.0032</x:v>
      </x:c>
      <x:c r="I28" s="60" t="n">
        <x:f>IF(F28&gt;0,D28/F28,"")</x:f>
        <x:v>6.412307692307692</x:v>
      </x:c>
      <x:c r="J28" s="60" t="n">
        <x:v>10.0032</x:v>
      </x:c>
      <x:c r="K28" s="60" t="n">
        <x:v>2.38866</x:v>
      </x:c>
      <x:c r="L28" s="60" t="n">
        <x:v>29.86</x:v>
      </x:c>
      <x:c r="M28" s="41" t="str">
        <x:v>2020 paid, Zach-linked window</x:v>
      </x:c>
    </x:row>
    <x:row r="29">
      <x:c r="A29" s="67" t="n">
        <x:v>44121</x:v>
      </x:c>
      <x:c r="B29" s="41" t="n">
        <x:v>31</x:v>
      </x:c>
      <x:c r="C29" s="60" t="n">
        <x:v>619.7</x:v>
      </x:c>
      <x:c r="D29" s="60" t="n">
        <x:v>347.83</x:v>
      </x:c>
      <x:c r="E29" s="61" t="n">
        <x:v>28</x:v>
      </x:c>
      <x:c r="F29" s="61" t="n">
        <x:v>51</x:v>
      </x:c>
      <x:c r="G29" s="62" t="n">
        <x:f>IF(D29&gt;0,C29/D29,"")</x:f>
        <x:v>1.7816174568036112</x:v>
      </x:c>
      <x:c r="H29" s="60" t="n">
        <x:f>IF(E29&gt;0,D29/E29,"")</x:f>
        <x:v>12.4225</x:v>
      </x:c>
      <x:c r="I29" s="60" t="n">
        <x:f>IF(F29&gt;0,D29/F29,"")</x:f>
        <x:v>6.820196078431373</x:v>
      </x:c>
      <x:c r="J29" s="60" t="n">
        <x:v>12.4225</x:v>
      </x:c>
      <x:c r="K29" s="60" t="n">
        <x:v>0.17875000000003</x:v>
      </x:c>
      <x:c r="L29" s="60" t="n">
        <x:v>2.5</x:v>
      </x:c>
      <x:c r="M29" s="41" t="str">
        <x:v>2020 paid, Zach-linked window</x:v>
      </x:c>
    </x:row>
    <x:row r="30">
      <x:c r="A30" s="67" t="n">
        <x:v>44128</x:v>
      </x:c>
      <x:c r="B30" s="41" t="n">
        <x:v>32</x:v>
      </x:c>
      <x:c r="C30" s="60" t="n">
        <x:v>74.95</x:v>
      </x:c>
      <x:c r="D30" s="60" t="n">
        <x:v>32.63</x:v>
      </x:c>
      <x:c r="E30" s="61" t="n">
        <x:v>6</x:v>
      </x:c>
      <x:c r="F30" s="61" t="n">
        <x:v>6</x:v>
      </x:c>
      <x:c r="G30" s="62" t="n">
        <x:f>IF(D30&gt;0,C30/D30,"")</x:f>
        <x:v>2.2969659822249464</x:v>
      </x:c>
      <x:c r="H30" s="60" t="n">
        <x:f>IF(E30&gt;0,D30/E30,"")</x:f>
        <x:v>5.4383333333333335</x:v>
      </x:c>
      <x:c r="I30" s="60" t="n">
        <x:f>IF(F30&gt;0,D30/F30,"")</x:f>
        <x:v>5.4383333333333335</x:v>
      </x:c>
      <x:c r="J30" s="60" t="n">
        <x:v>5.43833333333333</x:v>
      </x:c>
      <x:c r="K30" s="60" t="n">
        <x:v>-0.76124999999997</x:v>
      </x:c>
      <x:c r="L30" s="60" t="n">
        <x:v>0</x:v>
      </x:c>
      <x:c r="M30" s="41" t="str">
        <x:v>2020 paid, Zach-linked window</x:v>
      </x:c>
    </x:row>
    <x:row r="31">
      <x:c r="A31" s="67" t="n">
        <x:v>44135</x:v>
      </x:c>
      <x:c r="B31" s="41" t="n">
        <x:v>33</x:v>
      </x:c>
      <x:c r="C31" s="60" t="n">
        <x:v>833.64</x:v>
      </x:c>
      <x:c r="D31" s="60" t="n">
        <x:v>296.59</x:v>
      </x:c>
      <x:c r="E31" s="61" t="n">
        <x:v>32</x:v>
      </x:c>
      <x:c r="F31" s="61" t="n">
        <x:v>75</x:v>
      </x:c>
      <x:c r="G31" s="62" t="n">
        <x:f>IF(D31&gt;0,C31/D31,"")</x:f>
        <x:v>2.8107488452071885</x:v>
      </x:c>
      <x:c r="H31" s="60" t="n">
        <x:f>IF(E31&gt;0,D31/E31,"")</x:f>
        <x:v>9.2684375</x:v>
      </x:c>
      <x:c r="I31" s="60" t="n">
        <x:f>IF(F31&gt;0,D31/F31,"")</x:f>
        <x:v>3.954533333333333</x:v>
      </x:c>
      <x:c r="J31" s="60" t="n">
        <x:v>9.2684375</x:v>
      </x:c>
      <x:c r="K31" s="60" t="n">
        <x:v>5.588375</x:v>
      </x:c>
      <x:c r="L31" s="60" t="n">
        <x:v>89.41</x:v>
      </x:c>
      <x:c r="M31" s="41" t="str">
        <x:v>2020 paid, Zach-linked window</x:v>
      </x:c>
    </x:row>
    <x:row r="32">
      <x:c r="A32" s="67" t="n">
        <x:v>44142</x:v>
      </x:c>
      <x:c r="B32" s="41" t="n">
        <x:v>34</x:v>
      </x:c>
      <x:c r="C32" s="60" t="n">
        <x:v>1119.43</x:v>
      </x:c>
      <x:c r="D32" s="60" t="n">
        <x:v>412.1</x:v>
      </x:c>
      <x:c r="E32" s="61" t="n">
        <x:v>50</x:v>
      </x:c>
      <x:c r="F32" s="61" t="n">
        <x:v>94</x:v>
      </x:c>
      <x:c r="G32" s="62" t="n">
        <x:f>IF(D32&gt;0,C32/D32,"")</x:f>
        <x:v>2.716403785488959</x:v>
      </x:c>
      <x:c r="H32" s="60" t="n">
        <x:f>IF(E32&gt;0,D32/E32,"")</x:f>
        <x:v>8.242</x:v>
      </x:c>
      <x:c r="I32" s="60" t="n">
        <x:f>IF(F32&gt;0,D32/F32,"")</x:f>
        <x:v>4.38404255319149</x:v>
      </x:c>
      <x:c r="J32" s="60" t="n">
        <x:v>8.242</x:v>
      </x:c>
      <x:c r="K32" s="60" t="n">
        <x:v>4.35737</x:v>
      </x:c>
      <x:c r="L32" s="60" t="n">
        <x:v>108.93</x:v>
      </x:c>
      <x:c r="M32" s="41" t="str">
        <x:v>2020 paid, Zach-linked window, Holiday 2020</x:v>
      </x:c>
    </x:row>
    <x:row r="33">
      <x:c r="A33" s="67" t="n">
        <x:v>44149</x:v>
      </x:c>
      <x:c r="B33" s="41" t="n">
        <x:v>35</x:v>
      </x:c>
      <x:c r="C33" s="60" t="n">
        <x:v>497.77</x:v>
      </x:c>
      <x:c r="D33" s="60" t="n">
        <x:v>192.86</x:v>
      </x:c>
      <x:c r="E33" s="61" t="n">
        <x:v>22</x:v>
      </x:c>
      <x:c r="F33" s="61" t="n">
        <x:v>40</x:v>
      </x:c>
      <x:c r="G33" s="62" t="n">
        <x:f>IF(D33&gt;0,C33/D33,"")</x:f>
        <x:v>2.5809913927201076</x:v>
      </x:c>
      <x:c r="H33" s="60" t="n">
        <x:f>IF(E33&gt;0,D33/E33,"")</x:f>
        <x:v>8.766363636363637</x:v>
      </x:c>
      <x:c r="I33" s="60" t="n">
        <x:f>IF(F33&gt;0,D33/F33,"")</x:f>
        <x:v>4.8215</x:v>
      </x:c>
      <x:c r="J33" s="60" t="n">
        <x:v>8.76636363636364</x:v>
      </x:c>
      <x:c r="K33" s="60" t="n">
        <x:v>4.01143181818181</x:v>
      </x:c>
      <x:c r="L33" s="60" t="n">
        <x:v>44.13</x:v>
      </x:c>
      <x:c r="M33" s="41" t="str">
        <x:v>2020 paid, Zach-linked window, Holiday 2020</x:v>
      </x:c>
    </x:row>
    <x:row r="34">
      <x:c r="A34" s="67" t="n">
        <x:v>44156</x:v>
      </x:c>
      <x:c r="B34" s="41" t="n">
        <x:v>36</x:v>
      </x:c>
      <x:c r="C34" s="60" t="n">
        <x:v>1428.44</x:v>
      </x:c>
      <x:c r="D34" s="60" t="n">
        <x:v>632.91</x:v>
      </x:c>
      <x:c r="E34" s="61" t="n">
        <x:v>48</x:v>
      </x:c>
      <x:c r="F34" s="61" t="n">
        <x:v>97</x:v>
      </x:c>
      <x:c r="G34" s="62" t="n">
        <x:f>IF(D34&gt;0,C34/D34,"")</x:f>
        <x:v>2.2569401652683636</x:v>
      </x:c>
      <x:c r="H34" s="60" t="n">
        <x:f>IF(E34&gt;0,D34/E34,"")</x:f>
        <x:v>13.185625</x:v>
      </x:c>
      <x:c r="I34" s="60" t="n">
        <x:f>IF(F34&gt;0,D34/F34,"")</x:f>
        <x:v>6.524845360824742</x:v>
      </x:c>
      <x:c r="J34" s="60" t="n">
        <x:v>13.185625</x:v>
      </x:c>
      <x:c r="K34" s="60" t="n">
        <x:v>5.99350000000007</x:v>
      </x:c>
      <x:c r="L34" s="60" t="n">
        <x:v>143.84</x:v>
      </x:c>
      <x:c r="M34" s="41" t="str">
        <x:v>2020 paid, Zach-linked window, Holiday 2020</x:v>
      </x:c>
    </x:row>
    <x:row r="35">
      <x:c r="A35" s="67" t="n">
        <x:v>44163</x:v>
      </x:c>
      <x:c r="B35" s="41" t="n">
        <x:v>37</x:v>
      </x:c>
      <x:c r="C35" s="60" t="n">
        <x:v>2823.47</x:v>
      </x:c>
      <x:c r="D35" s="60" t="n">
        <x:v>1050.53</x:v>
      </x:c>
      <x:c r="E35" s="61" t="n">
        <x:v>149</x:v>
      </x:c>
      <x:c r="F35" s="61" t="n">
        <x:v>271</x:v>
      </x:c>
      <x:c r="G35" s="62" t="n">
        <x:f>IF(D35&gt;0,C35/D35,"")</x:f>
        <x:v>2.687662418017572</x:v>
      </x:c>
      <x:c r="H35" s="60" t="n">
        <x:f>IF(E35&gt;0,D35/E35,"")</x:f>
        <x:v>7.050536912751678</x:v>
      </x:c>
      <x:c r="I35" s="60" t="n">
        <x:f>IF(F35&gt;0,D35/F35,"")</x:f>
        <x:v>3.8764944649446496</x:v>
      </x:c>
      <x:c r="J35" s="60" t="n">
        <x:v>7.05053691275168</x:v>
      </x:c>
      <x:c r="K35" s="60" t="n">
        <x:v>3.31239261744964</x:v>
      </x:c>
      <x:c r="L35" s="60" t="n">
        <x:v>246.77</x:v>
      </x:c>
      <x:c r="M35" s="41" t="str">
        <x:v>2020 paid, Zach-linked window, Holiday 2020</x:v>
      </x:c>
    </x:row>
    <x:row r="36">
      <x:c r="A36" s="67" t="n">
        <x:v>44170</x:v>
      </x:c>
      <x:c r="B36" s="41" t="n">
        <x:v>38</x:v>
      </x:c>
      <x:c r="C36" s="60" t="n">
        <x:v>2760.95</x:v>
      </x:c>
      <x:c r="D36" s="60" t="n">
        <x:v>988.19</x:v>
      </x:c>
      <x:c r="E36" s="61" t="n">
        <x:v>133</x:v>
      </x:c>
      <x:c r="F36" s="61" t="n">
        <x:v>229</x:v>
      </x:c>
      <x:c r="G36" s="62" t="n">
        <x:f>IF(D36&gt;0,C36/D36,"")</x:f>
        <x:v>2.793946508262581</x:v>
      </x:c>
      <x:c r="H36" s="60" t="n">
        <x:f>IF(E36&gt;0,D36/E36,"")</x:f>
        <x:v>7.430000000000001</x:v>
      </x:c>
      <x:c r="I36" s="60" t="n">
        <x:f>IF(F36&gt;0,D36/F36,"")</x:f>
        <x:v>4.315240174672489</x:v>
      </x:c>
      <x:c r="J36" s="60" t="n">
        <x:v>7.43</x:v>
      </x:c>
      <x:c r="K36" s="60" t="n">
        <x:v>4.99768796992483</x:v>
      </x:c>
      <x:c r="L36" s="60" t="n">
        <x:v>332.35</x:v>
      </x:c>
      <x:c r="M36" s="41" t="str">
        <x:v>2020 paid, Zach-linked window, Holiday 2020</x:v>
      </x:c>
    </x:row>
    <x:row r="37">
      <x:c r="A37" s="67" t="n">
        <x:v>44177</x:v>
      </x:c>
      <x:c r="B37" s="41" t="n">
        <x:v>39</x:v>
      </x:c>
      <x:c r="C37" s="60" t="n">
        <x:v>3092.1</x:v>
      </x:c>
      <x:c r="D37" s="60" t="n">
        <x:v>928.51</x:v>
      </x:c>
      <x:c r="E37" s="61" t="n">
        <x:v>129</x:v>
      </x:c>
      <x:c r="F37" s="61" t="n">
        <x:v>278</x:v>
      </x:c>
      <x:c r="G37" s="62" t="n">
        <x:f>IF(D37&gt;0,C37/D37,"")</x:f>
        <x:v>3.3301741499822297</x:v>
      </x:c>
      <x:c r="H37" s="60" t="n">
        <x:f>IF(E37&gt;0,D37/E37,"")</x:f>
        <x:v>7.197751937984496</x:v>
      </x:c>
      <x:c r="I37" s="60" t="n">
        <x:f>IF(F37&gt;0,D37/F37,"")</x:f>
        <x:v>3.3399640287769783</x:v>
      </x:c>
      <x:c r="J37" s="60" t="n">
        <x:v>7.1977519379845</x:v>
      </x:c>
      <x:c r="K37" s="60" t="n">
        <x:v>7.31841085271321</x:v>
      </x:c>
      <x:c r="L37" s="60" t="n">
        <x:v>472.04</x:v>
      </x:c>
      <x:c r="M37" s="41" t="str">
        <x:v>2020 paid, Zach-linked window, Holiday 2020</x:v>
      </x:c>
    </x:row>
    <x:row r="38">
      <x:c r="A38" s="67" t="n">
        <x:v>44184</x:v>
      </x:c>
      <x:c r="B38" s="41" t="n">
        <x:v>40</x:v>
      </x:c>
      <x:c r="C38" s="60" t="n">
        <x:v>1777.43</x:v>
      </x:c>
      <x:c r="D38" s="60" t="n">
        <x:v>856.23</x:v>
      </x:c>
      <x:c r="E38" s="61" t="n">
        <x:v>88</x:v>
      </x:c>
      <x:c r="F38" s="61" t="n">
        <x:v>148</x:v>
      </x:c>
      <x:c r="G38" s="62" t="n">
        <x:f>IF(D38&gt;0,C38/D38,"")</x:f>
        <x:v>2.0758791446223563</x:v>
      </x:c>
      <x:c r="H38" s="60" t="n">
        <x:f>IF(E38&gt;0,D38/E38,"")</x:f>
        <x:v>9.729886363636364</x:v>
      </x:c>
      <x:c r="I38" s="60" t="n">
        <x:f>IF(F38&gt;0,D38/F38,"")</x:f>
        <x:v>5.785337837837838</x:v>
      </x:c>
      <x:c r="J38" s="60" t="n">
        <x:v>9.72988636363636</x:v>
      </x:c>
      <x:c r="K38" s="60" t="n">
        <x:v>2.21725568181825</x:v>
      </x:c>
      <x:c r="L38" s="60" t="n">
        <x:v>97.56</x:v>
      </x:c>
      <x:c r="M38" s="41" t="str">
        <x:v>2020 paid, Zach-linked window, Holiday 2020</x:v>
      </x:c>
    </x:row>
    <x:row r="39">
      <x:c r="A39" s="67" t="n">
        <x:v>44191</x:v>
      </x:c>
      <x:c r="B39" s="41" t="n">
        <x:v>41</x:v>
      </x:c>
      <x:c r="C39" s="60" t="n">
        <x:v>1572.41</x:v>
      </x:c>
      <x:c r="D39" s="60" t="n">
        <x:v>721.66</x:v>
      </x:c>
      <x:c r="E39" s="61" t="n">
        <x:v>78</x:v>
      </x:c>
      <x:c r="F39" s="61" t="n">
        <x:v>127</x:v>
      </x:c>
      <x:c r="G39" s="62" t="n">
        <x:f>IF(D39&gt;0,C39/D39,"")</x:f>
        <x:v>2.178879250616634</x:v>
      </x:c>
      <x:c r="H39" s="60" t="n">
        <x:f>IF(E39&gt;0,D39/E39,"")</x:f>
        <x:v>9.252051282051282</x:v>
      </x:c>
      <x:c r="I39" s="60" t="n">
        <x:f>IF(F39&gt;0,D39/F39,"")</x:f>
        <x:v>5.682362204724409</x:v>
      </x:c>
      <x:c r="J39" s="60" t="n">
        <x:v>9.25205128205128</x:v>
      </x:c>
      <x:c r="K39" s="60" t="n">
        <x:v>2.78178846153845</x:v>
      </x:c>
      <x:c r="L39" s="60" t="n">
        <x:v>108.49</x:v>
      </x:c>
      <x:c r="M39" s="41" t="str">
        <x:v>2020 paid, Zach-linked window, Holiday 2020</x:v>
      </x:c>
    </x:row>
    <x:row r="40">
      <x:c r="A40" s="67" t="n">
        <x:v>44198</x:v>
      </x:c>
      <x:c r="B40" s="41" t="n">
        <x:v>42</x:v>
      </x:c>
      <x:c r="C40" s="60" t="n">
        <x:v>1171.57</x:v>
      </x:c>
      <x:c r="D40" s="60" t="n">
        <x:v>650.86</x:v>
      </x:c>
      <x:c r="E40" s="61" t="n">
        <x:v>57</x:v>
      </x:c>
      <x:c r="F40" s="61" t="n">
        <x:v>98</x:v>
      </x:c>
      <x:c r="G40" s="62" t="n">
        <x:f>IF(D40&gt;0,C40/D40,"")</x:f>
        <x:v>1.8000338014319515</x:v>
      </x:c>
      <x:c r="H40" s="60" t="n">
        <x:f>IF(E40&gt;0,D40/E40,"")</x:f>
        <x:v>11.41859649122807</x:v>
      </x:c>
      <x:c r="I40" s="60" t="n">
        <x:f>IF(F40&gt;0,D40/F40,"")</x:f>
        <x:v>6.6414285714285715</x:v>
      </x:c>
      <x:c r="J40" s="60" t="n">
        <x:v>11.4185964912281</x:v>
      </x:c>
      <x:c r="K40" s="60" t="n">
        <x:v>0.74020175438599</x:v>
      </x:c>
      <x:c r="L40" s="60" t="n">
        <x:v>21.1</x:v>
      </x:c>
      <x:c r="M40" s="41" t="str">
        <x:v>Zach-linked window</x:v>
      </x:c>
    </x:row>
    <x:row r="41">
      <x:c r="A41" s="67" t="n">
        <x:v>44205</x:v>
      </x:c>
      <x:c r="B41" s="41" t="n">
        <x:v>43</x:v>
      </x:c>
      <x:c r="C41" s="60" t="n">
        <x:v>934.62</x:v>
      </x:c>
      <x:c r="D41" s="60" t="n">
        <x:v>583.85</x:v>
      </x:c>
      <x:c r="E41" s="61" t="n">
        <x:v>47</x:v>
      </x:c>
      <x:c r="F41" s="61" t="n">
        <x:v>76</x:v>
      </x:c>
      <x:c r="G41" s="62" t="n">
        <x:f>IF(D41&gt;0,C41/D41,"")</x:f>
        <x:v>1.6007878735976706</x:v>
      </x:c>
      <x:c r="H41" s="60" t="n">
        <x:f>IF(E41&gt;0,D41/E41,"")</x:f>
        <x:v>12.422340425531916</x:v>
      </x:c>
      <x:c r="I41" s="60" t="n">
        <x:f>IF(F41&gt;0,D41/F41,"")</x:f>
        <x:v>7.682236842105263</x:v>
      </x:c>
      <x:c r="J41" s="60" t="n">
        <x:v>12.4223404255319</x:v>
      </x:c>
      <x:c r="K41" s="60" t="n">
        <x:v>-0.68831914893619</x:v>
      </x:c>
      <x:c r="L41" s="60" t="n">
        <x:v>0</x:v>
      </x:c>
      <x:c r="M41" s="41" t="str">
        <x:v>Zach-linked window</x:v>
      </x:c>
    </x:row>
    <x:row r="42">
      <x:c r="A42" s="67" t="n">
        <x:v>44212</x:v>
      </x:c>
      <x:c r="B42" s="41" t="n">
        <x:v>44</x:v>
      </x:c>
      <x:c r="C42" s="60" t="n">
        <x:v>937.63</x:v>
      </x:c>
      <x:c r="D42" s="60" t="n">
        <x:v>504.39</x:v>
      </x:c>
      <x:c r="E42" s="61" t="n">
        <x:v>48</x:v>
      </x:c>
      <x:c r="F42" s="61" t="n">
        <x:v>76</x:v>
      </x:c>
      <x:c r="G42" s="62" t="n">
        <x:f>IF(D42&gt;0,C42/D42,"")</x:f>
        <x:v>1.8589385197961894</x:v>
      </x:c>
      <x:c r="H42" s="60" t="n">
        <x:f>IF(E42&gt;0,D42/E42,"")</x:f>
        <x:v>10.508125</x:v>
      </x:c>
      <x:c r="I42" s="60" t="n">
        <x:f>IF(F42&gt;0,D42/F42,"")</x:f>
        <x:v>6.636710526315789</x:v>
      </x:c>
      <x:c r="J42" s="60" t="n">
        <x:v>10.508125</x:v>
      </x:c>
      <x:c r="K42" s="60" t="n">
        <x:v>0.96205208333327</x:v>
      </x:c>
      <x:c r="L42" s="60" t="n">
        <x:v>23.06</x:v>
      </x:c>
      <x:c r="M42" s="41" t="str">
        <x:v>Zach-linked window</x:v>
      </x:c>
    </x:row>
    <x:row r="43">
      <x:c r="A43" s="67" t="n">
        <x:v>44219</x:v>
      </x:c>
      <x:c r="B43" s="41" t="n">
        <x:v>45</x:v>
      </x:c>
      <x:c r="C43" s="60" t="n">
        <x:v>558.79</x:v>
      </x:c>
      <x:c r="D43" s="60" t="n">
        <x:v>400.74</x:v>
      </x:c>
      <x:c r="E43" s="61" t="n">
        <x:v>25</x:v>
      </x:c>
      <x:c r="F43" s="61" t="n">
        <x:v>45</x:v>
      </x:c>
      <x:c r="G43" s="62" t="n">
        <x:f>IF(D43&gt;0,C43/D43,"")</x:f>
        <x:v>1.3943953685681487</x:v>
      </x:c>
      <x:c r="H43" s="60" t="n">
        <x:f>IF(E43&gt;0,D43/E43,"")</x:f>
        <x:v>16.029600000000002</x:v>
      </x:c>
      <x:c r="I43" s="60" t="n">
        <x:f>IF(F43&gt;0,D43/F43,"")</x:f>
        <x:v>8.905333333333333</x:v>
      </x:c>
      <x:c r="J43" s="60" t="n">
        <x:v>16.0296</x:v>
      </x:c>
      <x:c r="K43" s="60" t="n">
        <x:v>-2.46398</x:v>
      </x:c>
      <x:c r="L43" s="60" t="n">
        <x:v>0</x:v>
      </x:c>
      <x:c r="M43" s="41" t="str">
        <x:v>Zach-linked window</x:v>
      </x:c>
    </x:row>
    <x:row r="44">
      <x:c r="A44" s="67" t="n">
        <x:v>44226</x:v>
      </x:c>
      <x:c r="B44" s="41" t="n">
        <x:v>46</x:v>
      </x:c>
      <x:c r="C44" s="60" t="n">
        <x:v>591.86</x:v>
      </x:c>
      <x:c r="D44" s="60" t="n">
        <x:v>351.38</x:v>
      </x:c>
      <x:c r="E44" s="61" t="n">
        <x:v>24</x:v>
      </x:c>
      <x:c r="F44" s="61" t="n">
        <x:v>54</x:v>
      </x:c>
      <x:c r="G44" s="62" t="n">
        <x:f>IF(D44&gt;0,C44/D44,"")</x:f>
        <x:v>1.684387273037737</x:v>
      </x:c>
      <x:c r="H44" s="60" t="n">
        <x:f>IF(E44&gt;0,D44/E44,"")</x:f>
        <x:v>14.640833333333333</x:v>
      </x:c>
      <x:c r="I44" s="60" t="n">
        <x:f>IF(F44&gt;0,D44/F44,"")</x:f>
        <x:v>6.507037037037037</x:v>
      </x:c>
      <x:c r="J44" s="60" t="n">
        <x:v>14.6408333333333</x:v>
      </x:c>
      <x:c r="K44" s="60" t="n">
        <x:v>0.0519583333333</x:v>
      </x:c>
      <x:c r="L44" s="60" t="n">
        <x:v>0</x:v>
      </x:c>
      <x:c r="M44" s="41" t="str">
        <x:v>Zach-linked window</x:v>
      </x:c>
    </x:row>
    <x:row r="45">
      <x:c r="A45" s="67" t="n">
        <x:v>44233</x:v>
      </x:c>
      <x:c r="B45" s="41" t="n">
        <x:v>47</x:v>
      </x:c>
      <x:c r="C45" s="60" t="n">
        <x:v>543.61</x:v>
      </x:c>
      <x:c r="D45" s="60" t="n">
        <x:v>351.33</x:v>
      </x:c>
      <x:c r="E45" s="61" t="n">
        <x:v>25</x:v>
      </x:c>
      <x:c r="F45" s="61" t="n">
        <x:v>46</x:v>
      </x:c>
      <x:c r="G45" s="62" t="n">
        <x:f>IF(D45&gt;0,C45/D45,"")</x:f>
        <x:v>1.5472917200352945</x:v>
      </x:c>
      <x:c r="H45" s="60" t="n">
        <x:f>IF(E45&gt;0,D45/E45,"")</x:f>
        <x:v>14.053199999999999</x:v>
      </x:c>
      <x:c r="I45" s="60" t="n">
        <x:f>IF(F45&gt;0,D45/F45,"")</x:f>
        <x:v>7.637608695652173</x:v>
      </x:c>
      <x:c r="J45" s="60" t="n">
        <x:v>14.0532</x:v>
      </x:c>
      <x:c r="K45" s="60" t="n">
        <x:v>-1.20162</x:v>
      </x:c>
      <x:c r="L45" s="60" t="n">
        <x:v>0</x:v>
      </x:c>
      <x:c r="M45" s="41" t="str">
        <x:v>Zach-linked window</x:v>
      </x:c>
    </x:row>
    <x:row r="46">
      <x:c r="A46" s="67" t="n">
        <x:v>44240</x:v>
      </x:c>
      <x:c r="B46" s="41" t="n">
        <x:v>48</x:v>
      </x:c>
      <x:c r="C46" s="60" t="n">
        <x:v>584.84</x:v>
      </x:c>
      <x:c r="D46" s="60" t="n">
        <x:v>353.31</x:v>
      </x:c>
      <x:c r="E46" s="61" t="n">
        <x:v>26</x:v>
      </x:c>
      <x:c r="F46" s="61" t="n">
        <x:v>54</x:v>
      </x:c>
      <x:c r="G46" s="62" t="n">
        <x:f>IF(D46&gt;0,C46/D46,"")</x:f>
        <x:v>1.6553168605473947</x:v>
      </x:c>
      <x:c r="H46" s="60" t="n">
        <x:f>IF(E46&gt;0,D46/E46,"")</x:f>
        <x:v>13.588846153846154</x:v>
      </x:c>
      <x:c r="I46" s="60" t="n">
        <x:f>IF(F46&gt;0,D46/F46,"")</x:f>
        <x:v>6.542777777777778</x:v>
      </x:c>
      <x:c r="J46" s="60" t="n">
        <x:v>13.5888461538462</x:v>
      </x:c>
      <x:c r="K46" s="60" t="n">
        <x:v>-0.51430769230765</x:v>
      </x:c>
      <x:c r="L46" s="60" t="n">
        <x:v>0</x:v>
      </x:c>
      <x:c r="M46" s="41" t="str">
        <x:v>Zach-linked window</x:v>
      </x:c>
    </x:row>
    <x:row r="47">
      <x:c r="A47" s="67" t="n">
        <x:v>44247</x:v>
      </x:c>
      <x:c r="B47" s="41" t="n">
        <x:v>49</x:v>
      </x:c>
      <x:c r="C47" s="60" t="n">
        <x:v>546.78</x:v>
      </x:c>
      <x:c r="D47" s="60" t="n">
        <x:v>359.85</x:v>
      </x:c>
      <x:c r="E47" s="61" t="n">
        <x:v>26</x:v>
      </x:c>
      <x:c r="F47" s="61" t="n">
        <x:v>45</x:v>
      </x:c>
      <x:c r="G47" s="62" t="n">
        <x:f>IF(D47&gt;0,C47/D47,"")</x:f>
        <x:v>1.519466444351813</x:v>
      </x:c>
      <x:c r="H47" s="60" t="n">
        <x:f>IF(E47&gt;0,D47/E47,"")</x:f>
        <x:v>13.840384615384616</x:v>
      </x:c>
      <x:c r="I47" s="60" t="n">
        <x:f>IF(F47&gt;0,D47/F47,"")</x:f>
        <x:v>7.996666666666667</x:v>
      </x:c>
      <x:c r="J47" s="60" t="n">
        <x:v>13.8403846153846</x:v>
      </x:c>
      <x:c r="K47" s="60" t="n">
        <x:v>-1.41842307692312</x:v>
      </x:c>
      <x:c r="L47" s="60" t="n">
        <x:v>0</x:v>
      </x:c>
      <x:c r="M47" s="41" t="str">
        <x:v>Zach-linked window</x:v>
      </x:c>
    </x:row>
    <x:row r="48">
      <x:c r="A48" s="67" t="n">
        <x:v>44254</x:v>
      </x:c>
      <x:c r="B48" s="41" t="n">
        <x:v>50</x:v>
      </x:c>
      <x:c r="C48" s="60" t="n">
        <x:v>556.79</x:v>
      </x:c>
      <x:c r="D48" s="60" t="n">
        <x:v>358.92</x:v>
      </x:c>
      <x:c r="E48" s="61" t="n">
        <x:v>24</x:v>
      </x:c>
      <x:c r="F48" s="61" t="n">
        <x:v>49</x:v>
      </x:c>
      <x:c r="G48" s="62" t="n">
        <x:f>IF(D48&gt;0,C48/D48,"")</x:f>
        <x:v>1.5512927671904602</x:v>
      </x:c>
      <x:c r="H48" s="60" t="n">
        <x:f>IF(E48&gt;0,D48/E48,"")</x:f>
        <x:v>14.955</x:v>
      </x:c>
      <x:c r="I48" s="60" t="n">
        <x:f>IF(F48&gt;0,D48/F48,"")</x:f>
        <x:v>7.324897959183674</x:v>
      </x:c>
      <x:c r="J48" s="60" t="n">
        <x:v>14.955</x:v>
      </x:c>
      <x:c r="K48" s="60" t="n">
        <x:v>-1.16247916666673</x:v>
      </x:c>
      <x:c r="L48" s="60" t="n">
        <x:v>0</x:v>
      </x:c>
      <x:c r="M48" s="41" t="str">
        <x:v>Zach-linked window</x:v>
      </x:c>
    </x:row>
    <x:row r="49">
      <x:c r="A49" s="67" t="n">
        <x:v>44261</x:v>
      </x:c>
      <x:c r="B49" s="41" t="n">
        <x:v>51</x:v>
      </x:c>
      <x:c r="C49" s="60" t="n">
        <x:v>665.85</x:v>
      </x:c>
      <x:c r="D49" s="60" t="n">
        <x:v>343.89</x:v>
      </x:c>
      <x:c r="E49" s="61" t="n">
        <x:v>24</x:v>
      </x:c>
      <x:c r="F49" s="61" t="n">
        <x:v>65</x:v>
      </x:c>
      <x:c r="G49" s="62" t="n">
        <x:f>IF(D49&gt;0,C49/D49,"")</x:f>
        <x:v>1.9362296083049815</x:v>
      </x:c>
      <x:c r="H49" s="60" t="n">
        <x:f>IF(E49&gt;0,D49/E49,"")</x:f>
        <x:v>14.32875</x:v>
      </x:c>
      <x:c r="I49" s="60" t="n">
        <x:f>IF(F49&gt;0,D49/F49,"")</x:f>
        <x:v>5.290615384615385</x:v>
      </x:c>
      <x:c r="J49" s="60" t="n">
        <x:v>14.32875</x:v>
      </x:c>
      <x:c r="K49" s="60" t="n">
        <x:v>2.2565625</x:v>
      </x:c>
      <x:c r="L49" s="60" t="n">
        <x:v>27.08</x:v>
      </x:c>
      <x:c r="M49" s="41" t="str">
        <x:v>Zach-linked window</x:v>
      </x:c>
    </x:row>
    <x:row r="50">
      <x:c r="A50" s="67" t="n">
        <x:v>44268</x:v>
      </x:c>
      <x:c r="B50" s="41" t="n">
        <x:v>52</x:v>
      </x:c>
      <x:c r="C50" s="60" t="n">
        <x:v>594.81</x:v>
      </x:c>
      <x:c r="D50" s="60" t="n">
        <x:v>332.47</x:v>
      </x:c>
      <x:c r="E50" s="61" t="n">
        <x:v>25</x:v>
      </x:c>
      <x:c r="F50" s="61" t="n">
        <x:v>51</x:v>
      </x:c>
      <x:c r="G50" s="62" t="n">
        <x:f>IF(D50&gt;0,C50/D50,"")</x:f>
        <x:v>1.7890636749180373</x:v>
      </x:c>
      <x:c r="H50" s="60" t="n">
        <x:f>IF(E50&gt;0,D50/E50,"")</x:f>
        <x:v>13.298800000000002</x:v>
      </x:c>
      <x:c r="I50" s="60" t="n">
        <x:f>IF(F50&gt;0,D50/F50,"")</x:f>
        <x:v>6.519019607843138</x:v>
      </x:c>
      <x:c r="J50" s="60" t="n">
        <x:v>13.2988</x:v>
      </x:c>
      <x:c r="K50" s="60" t="n">
        <x:v>1.07718</x:v>
      </x:c>
      <x:c r="L50" s="60" t="n">
        <x:v>13.46</x:v>
      </x:c>
      <x:c r="M50" s="41" t="str">
        <x:v>Zach-linked window</x:v>
      </x:c>
    </x:row>
    <x:row r="51">
      <x:c r="A51" s="67" t="n">
        <x:v>44275</x:v>
      </x:c>
      <x:c r="B51" s="41" t="n">
        <x:v>53</x:v>
      </x:c>
      <x:c r="C51" s="60" t="n">
        <x:v>432.88</x:v>
      </x:c>
      <x:c r="D51" s="60" t="n">
        <x:v>329.5</x:v>
      </x:c>
      <x:c r="E51" s="61" t="n">
        <x:v>20</x:v>
      </x:c>
      <x:c r="F51" s="61" t="n">
        <x:v>36</x:v>
      </x:c>
      <x:c r="G51" s="62" t="n">
        <x:f>IF(D51&gt;0,C51/D51,"")</x:f>
        <x:v>1.3137481031866465</x:v>
      </x:c>
      <x:c r="H51" s="60" t="n">
        <x:f>IF(E51&gt;0,D51/E51,"")</x:f>
        <x:v>16.475</x:v>
      </x:c>
      <x:c r="I51" s="60" t="n">
        <x:f>IF(F51&gt;0,D51/F51,"")</x:f>
        <x:v>9.152777777777779</x:v>
      </x:c>
      <x:c r="J51" s="60" t="n">
        <x:v>16.475</x:v>
      </x:c>
      <x:c r="K51" s="60" t="n">
        <x:v>-3.6802</x:v>
      </x:c>
      <x:c r="L51" s="60" t="n">
        <x:v>0</x:v>
      </x:c>
      <x:c r="M51" s="41" t="str">
        <x:v>Zach-linked window</x:v>
      </x:c>
    </x:row>
    <x:row r="52">
      <x:c r="A52" s="67" t="n">
        <x:v>44282</x:v>
      </x:c>
      <x:c r="B52" s="41" t="n">
        <x:v>54</x:v>
      </x:c>
      <x:c r="C52" s="60" t="n">
        <x:v>413.85</x:v>
      </x:c>
      <x:c r="D52" s="60" t="n">
        <x:v>329.84</x:v>
      </x:c>
      <x:c r="E52" s="61" t="n">
        <x:v>20</x:v>
      </x:c>
      <x:c r="F52" s="61" t="n">
        <x:v>33</x:v>
      </x:c>
      <x:c r="G52" s="62" t="n">
        <x:f>IF(D52&gt;0,C52/D52,"")</x:f>
        <x:v>1.254699248120301</x:v>
      </x:c>
      <x:c r="H52" s="60" t="n">
        <x:f>IF(E52&gt;0,D52/E52,"")</x:f>
        <x:v>16.491999999999997</x:v>
      </x:c>
      <x:c r="I52" s="60" t="n">
        <x:f>IF(F52&gt;0,D52/F52,"")</x:f>
        <x:v>9.995151515151514</x:v>
      </x:c>
      <x:c r="J52" s="60" t="n">
        <x:v>16.492</x:v>
      </x:c>
      <x:c r="K52" s="60" t="n">
        <x:v>-4.261625</x:v>
      </x:c>
      <x:c r="L52" s="60" t="n">
        <x:v>0</x:v>
      </x:c>
      <x:c r="M52" s="41" t="str">
        <x:v>Zach-linked window</x:v>
      </x:c>
    </x:row>
    <x:row r="53">
      <x:c r="A53" s="67" t="n">
        <x:v>44287</x:v>
      </x:c>
      <x:c r="B53" s="41" t="n">
        <x:v>55</x:v>
      </x:c>
      <x:c r="C53" s="60" t="n">
        <x:v>1570.28</x:v>
      </x:c>
      <x:c r="D53" s="60" t="n">
        <x:v>1242.05</x:v>
      </x:c>
      <x:c r="E53" s="61" t="n">
        <x:v>51</x:v>
      </x:c>
      <x:c r="F53" s="61" t="n">
        <x:v>89</x:v>
      </x:c>
      <x:c r="G53" s="62" t="n">
        <x:f>IF(D53&gt;0,C53/D53,"")</x:f>
        <x:v>1.2642647236423654</x:v>
      </x:c>
      <x:c r="H53" s="60" t="n">
        <x:f>IF(E53&gt;0,D53/E53,"")</x:f>
        <x:v>24.35392156862745</x:v>
      </x:c>
      <x:c r="I53" s="60" t="n">
        <x:f>IF(F53&gt;0,D53/F53,"")</x:f>
        <x:v>13.955617977528089</x:v>
      </x:c>
      <x:c r="J53" s="60" t="n">
        <x:v>24.3539215686275</x:v>
      </x:c>
      <x:c r="K53" s="60" t="n">
        <x:v>-2.48909803921572</x:v>
      </x:c>
      <x:c r="L53" s="60" t="n">
        <x:v>0</x:v>
      </x:c>
      <x:c r="M53" s="41" t="str"/>
    </x:row>
    <x:row r="54">
      <x:c r="A54" s="67" t="n">
        <x:v>44317</x:v>
      </x:c>
      <x:c r="B54" s="41" t="n">
        <x:v>56</x:v>
      </x:c>
      <x:c r="C54" s="60" t="n">
        <x:v>1046.55</x:v>
      </x:c>
      <x:c r="D54" s="60" t="n">
        <x:v>753.48</x:v>
      </x:c>
      <x:c r="E54" s="61" t="n">
        <x:v>53</x:v>
      </x:c>
      <x:c r="F54" s="61" t="n">
        <x:v>81</x:v>
      </x:c>
      <x:c r="G54" s="62" t="n">
        <x:f>IF(D54&gt;0,C54/D54,"")</x:f>
        <x:v>1.3889552476508997</x:v>
      </x:c>
      <x:c r="H54" s="60" t="n">
        <x:f>IF(E54&gt;0,D54/E54,"")</x:f>
        <x:v>14.216603773584906</x:v>
      </x:c>
      <x:c r="I54" s="60" t="n">
        <x:f>IF(F54&gt;0,D54/F54,"")</x:f>
        <x:v>9.302222222222223</x:v>
      </x:c>
      <x:c r="J54" s="60" t="n">
        <x:v>14.2166037735849</x:v>
      </x:c>
      <x:c r="K54" s="60" t="n">
        <x:v>-2.38070754716986</x:v>
      </x:c>
      <x:c r="L54" s="60" t="n">
        <x:v>0</x:v>
      </x:c>
      <x:c r="M54" s="41" t="str"/>
    </x:row>
    <x:row r="55">
      <x:c r="A55" s="67" t="n">
        <x:v>44348</x:v>
      </x:c>
      <x:c r="B55" s="41" t="n">
        <x:v>57</x:v>
      </x:c>
      <x:c r="C55" s="60" t="n">
        <x:v>77.99</x:v>
      </x:c>
      <x:c r="D55" s="60" t="n">
        <x:v>0</x:v>
      </x:c>
      <x:c r="E55" s="61" t="n">
        <x:v>3</x:v>
      </x:c>
      <x:c r="F55" s="61" t="n">
        <x:v>10</x:v>
      </x:c>
      <x:c r="G55" s="62" t="str">
        <x:f>IF(D55&gt;0,C55/D55,"")</x:f>
      </x:c>
      <x:c r="H55" s="60" t="n">
        <x:f>IF(E55&gt;0,D55/E55,"")</x:f>
        <x:v>0</x:v>
      </x:c>
      <x:c r="I55" s="60" t="n">
        <x:f>IF(F55&gt;0,D55/F55,"")</x:f>
        <x:v>0</x:v>
      </x:c>
      <x:c r="J55" s="60" t="n">
        <x:v>0</x:v>
      </x:c>
      <x:c r="K55" s="60" t="n">
        <x:v>11.2601666666667</x:v>
      </x:c>
      <x:c r="L55" s="60" t="n">
        <x:v>0</x:v>
      </x:c>
      <x:c r="M55" s="41" t="str"/>
    </x:row>
    <x:row r="56">
      <x:c r="A56" s="67" t="n">
        <x:v>44378</x:v>
      </x:c>
      <x:c r="B56" s="41" t="n">
        <x:v>58</x:v>
      </x:c>
      <x:c r="C56" s="60" t="n">
        <x:v>218.98</x:v>
      </x:c>
      <x:c r="D56" s="60" t="n">
        <x:v>0</x:v>
      </x:c>
      <x:c r="E56" s="61" t="n">
        <x:v>10</x:v>
      </x:c>
      <x:c r="F56" s="61" t="n">
        <x:v>24</x:v>
      </x:c>
      <x:c r="G56" s="62" t="str">
        <x:f>IF(D56&gt;0,C56/D56,"")</x:f>
      </x:c>
      <x:c r="H56" s="60" t="n">
        <x:f>IF(E56&gt;0,D56/E56,"")</x:f>
        <x:v>0</x:v>
      </x:c>
      <x:c r="I56" s="60" t="n">
        <x:f>IF(F56&gt;0,D56/F56,"")</x:f>
        <x:v>0</x:v>
      </x:c>
      <x:c r="J56" s="60" t="n">
        <x:v>0</x:v>
      </x:c>
      <x:c r="K56" s="60" t="n">
        <x:v>11.5011</x:v>
      </x:c>
      <x:c r="L56" s="60" t="n">
        <x:v>0</x:v>
      </x:c>
      <x:c r="M56" s="41" t="str"/>
    </x:row>
    <x:row r="57">
      <x:c r="A57" s="67" t="n">
        <x:v>44409</x:v>
      </x:c>
      <x:c r="B57" s="41" t="n">
        <x:v>59</x:v>
      </x:c>
      <x:c r="C57" s="60" t="n">
        <x:v>125</x:v>
      </x:c>
      <x:c r="D57" s="60" t="n">
        <x:v>0</x:v>
      </x:c>
      <x:c r="E57" s="61" t="n">
        <x:v>4</x:v>
      </x:c>
      <x:c r="F57" s="61" t="n">
        <x:v>11</x:v>
      </x:c>
      <x:c r="G57" s="62" t="str">
        <x:f>IF(D57&gt;0,C57/D57,"")</x:f>
      </x:c>
      <x:c r="H57" s="60" t="n">
        <x:f>IF(E57&gt;0,D57/E57,"")</x:f>
        <x:v>0</x:v>
      </x:c>
      <x:c r="I57" s="60" t="n">
        <x:f>IF(F57&gt;0,D57/F57,"")</x:f>
        <x:v>0</x:v>
      </x:c>
      <x:c r="J57" s="60" t="n">
        <x:v>0</x:v>
      </x:c>
      <x:c r="K57" s="60" t="n">
        <x:v>18.195</x:v>
      </x:c>
      <x:c r="L57" s="60" t="n">
        <x:v>0</x:v>
      </x:c>
      <x:c r="M57" s="41" t="str"/>
    </x:row>
    <x:row r="58">
      <x:c r="A58" s="67" t="n">
        <x:v>44440</x:v>
      </x:c>
      <x:c r="B58" s="41" t="n">
        <x:v>60</x:v>
      </x:c>
      <x:c r="C58" s="60" t="n">
        <x:v>15</x:v>
      </x:c>
      <x:c r="D58" s="60" t="n">
        <x:v>0</x:v>
      </x:c>
      <x:c r="E58" s="61" t="n">
        <x:v>1</x:v>
      </x:c>
      <x:c r="F58" s="61" t="n">
        <x:v>1</x:v>
      </x:c>
      <x:c r="G58" s="62" t="str">
        <x:f>IF(D58&gt;0,C58/D58,"")</x:f>
      </x:c>
      <x:c r="H58" s="60" t="n">
        <x:f>IF(E58&gt;0,D58/E58,"")</x:f>
        <x:v>0</x:v>
      </x:c>
      <x:c r="I58" s="60" t="n">
        <x:f>IF(F58&gt;0,D58/F58,"")</x:f>
        <x:v>0</x:v>
      </x:c>
      <x:c r="J58" s="60" t="n">
        <x:v>0</x:v>
      </x:c>
      <x:c r="K58" s="60" t="n">
        <x:v>1.09</x:v>
      </x:c>
      <x:c r="L58" s="60" t="n">
        <x:v>0</x:v>
      </x:c>
      <x:c r="M58" s="41" t="str"/>
    </x:row>
    <x:row r="59">
      <x:c r="A59" s="67" t="n">
        <x:v>44470</x:v>
      </x:c>
      <x:c r="B59" s="41" t="n">
        <x:v>61</x:v>
      </x:c>
      <x:c r="C59" s="60" t="n">
        <x:v>0</x:v>
      </x:c>
      <x:c r="D59" s="60" t="n">
        <x:v>0</x:v>
      </x:c>
      <x:c r="E59" s="61" t="n">
        <x:v>0</x:v>
      </x:c>
      <x:c r="F59" s="61" t="n">
        <x:v>0</x:v>
      </x:c>
      <x:c r="G59" s="62" t="str">
        <x:f>IF(D59&gt;0,C59/D59,"")</x:f>
      </x:c>
      <x:c r="H59" s="60" t="str">
        <x:f>IF(E59&gt;0,D59/E59,"")</x:f>
      </x:c>
      <x:c r="I59" s="60" t="str">
        <x:f>IF(F59&gt;0,D59/F59,"")</x:f>
      </x:c>
      <x:c r="J59" s="60" t="n">
        <x:v>0</x:v>
      </x:c>
      <x:c r="K59" s="60" t="n">
        <x:v>0</x:v>
      </x:c>
      <x:c r="L59" s="60" t="n">
        <x:v>0</x:v>
      </x:c>
      <x:c r="M59" s="41" t="str"/>
    </x:row>
    <x:row r="60">
      <x:c r="A60" s="67" t="n">
        <x:v>44501</x:v>
      </x:c>
      <x:c r="B60" s="41" t="n">
        <x:v>62</x:v>
      </x:c>
      <x:c r="C60" s="60" t="n">
        <x:v>582</x:v>
      </x:c>
      <x:c r="D60" s="60" t="n">
        <x:v>337.4</x:v>
      </x:c>
      <x:c r="E60" s="61" t="n">
        <x:v>31</x:v>
      </x:c>
      <x:c r="F60" s="61" t="n">
        <x:v>41</x:v>
      </x:c>
      <x:c r="G60" s="62" t="n">
        <x:f>IF(D60&gt;0,C60/D60,"")</x:f>
        <x:v>1.7249555423829284</x:v>
      </x:c>
      <x:c r="H60" s="60" t="n">
        <x:f>IF(E60&gt;0,D60/E60,"")</x:f>
        <x:v>10.883870967741935</x:v>
      </x:c>
      <x:c r="I60" s="60" t="n">
        <x:f>IF(F60&gt;0,D60/F60,"")</x:f>
        <x:v>8.229268292682926</x:v>
      </x:c>
      <x:c r="J60" s="60" t="n">
        <x:v>10.8838709677419</x:v>
      </x:c>
      <x:c r="K60" s="60" t="n">
        <x:v>0.35129032258061</x:v>
      </x:c>
      <x:c r="L60" s="60" t="n">
        <x:v>0</x:v>
      </x:c>
      <x:c r="M60" s="41" t="str"/>
    </x:row>
    <x:row r="61">
      <x:c r="A61" s="67" t="n">
        <x:v>44531</x:v>
      </x:c>
      <x:c r="B61" s="41" t="n">
        <x:v>63</x:v>
      </x:c>
      <x:c r="C61" s="60" t="n">
        <x:v>350.85</x:v>
      </x:c>
      <x:c r="D61" s="60" t="n">
        <x:v>0</x:v>
      </x:c>
      <x:c r="E61" s="61" t="n">
        <x:v>13</x:v>
      </x:c>
      <x:c r="F61" s="61" t="n">
        <x:v>34</x:v>
      </x:c>
      <x:c r="G61" s="62" t="str">
        <x:f>IF(D61&gt;0,C61/D61,"")</x:f>
      </x:c>
      <x:c r="H61" s="60" t="n">
        <x:f>IF(E61&gt;0,D61/E61,"")</x:f>
        <x:v>0</x:v>
      </x:c>
      <x:c r="I61" s="60" t="n">
        <x:f>IF(F61&gt;0,D61/F61,"")</x:f>
        <x:v>0</x:v>
      </x:c>
      <x:c r="J61" s="60" t="n">
        <x:v>0</x:v>
      </x:c>
      <x:c r="K61" s="60" t="n">
        <x:v>15.8528846153846</x:v>
      </x:c>
      <x:c r="L61" s="60" t="n">
        <x:v>0</x:v>
      </x:c>
      <x:c r="M61" s="41" t="str"/>
    </x:row>
    <x:row r="62">
      <x:c r="A62" s="67" t="n">
        <x:v>44562</x:v>
      </x:c>
      <x:c r="B62" s="41" t="n">
        <x:v>64</x:v>
      </x:c>
      <x:c r="C62" s="60" t="n">
        <x:v>70.4</x:v>
      </x:c>
      <x:c r="D62" s="60" t="n">
        <x:v>0</x:v>
      </x:c>
      <x:c r="E62" s="61" t="n">
        <x:v>3</x:v>
      </x:c>
      <x:c r="F62" s="61" t="n">
        <x:v>6</x:v>
      </x:c>
      <x:c r="G62" s="62" t="str">
        <x:f>IF(D62&gt;0,C62/D62,"")</x:f>
      </x:c>
      <x:c r="H62" s="60" t="n">
        <x:f>IF(E62&gt;0,D62/E62,"")</x:f>
        <x:v>0</x:v>
      </x:c>
      <x:c r="I62" s="60" t="n">
        <x:f>IF(F62&gt;0,D62/F62,"")</x:f>
        <x:v>0</x:v>
      </x:c>
      <x:c r="J62" s="60" t="n">
        <x:v>0</x:v>
      </x:c>
      <x:c r="K62" s="60" t="n">
        <x:v>12.0666666666667</x:v>
      </x:c>
      <x:c r="L62" s="60" t="n">
        <x:v>0</x:v>
      </x:c>
      <x:c r="M62" s="41" t="str"/>
    </x:row>
    <x:row r="63">
      <x:c r="A63" s="67" t="n">
        <x:v>44614</x:v>
      </x:c>
      <x:c r="B63" s="41" t="n">
        <x:v>65</x:v>
      </x:c>
      <x:c r="C63" s="60" t="n">
        <x:v>221</x:v>
      </x:c>
      <x:c r="D63" s="60" t="n">
        <x:v>250</x:v>
      </x:c>
      <x:c r="E63" s="61" t="n">
        <x:v>14</x:v>
      </x:c>
      <x:c r="F63" s="61" t="n">
        <x:v>16</x:v>
      </x:c>
      <x:c r="G63" s="62" t="n">
        <x:f>IF(D63&gt;0,C63/D63,"")</x:f>
        <x:v>0.884</x:v>
      </x:c>
      <x:c r="H63" s="60" t="n">
        <x:f>IF(E63&gt;0,D63/E63,"")</x:f>
        <x:v>17.857142857142858</x:v>
      </x:c>
      <x:c r="I63" s="60" t="n">
        <x:f>IF(F63&gt;0,D63/F63,"")</x:f>
        <x:v>15.625</x:v>
      </x:c>
      <x:c r="J63" s="60" t="n">
        <x:v>17.8571428571429</x:v>
      </x:c>
      <x:c r="K63" s="60" t="n">
        <x:v>-9.32357142857146</x:v>
      </x:c>
      <x:c r="L63" s="60" t="n">
        <x:v>0</x:v>
      </x:c>
      <x:c r="M63" s="41" t="str"/>
    </x:row>
    <x:row r="64">
      <x:c r="A64" s="67" t="n">
        <x:v>44642</x:v>
      </x:c>
      <x:c r="B64" s="41" t="n">
        <x:v>66</x:v>
      </x:c>
      <x:c r="C64" s="60" t="n">
        <x:v>138.2</x:v>
      </x:c>
      <x:c r="D64" s="60" t="n">
        <x:v>0</x:v>
      </x:c>
      <x:c r="E64" s="61" t="n">
        <x:v>5</x:v>
      </x:c>
      <x:c r="F64" s="61" t="n">
        <x:v>14</x:v>
      </x:c>
      <x:c r="G64" s="62" t="str">
        <x:f>IF(D64&gt;0,C64/D64,"")</x:f>
      </x:c>
      <x:c r="H64" s="60" t="n">
        <x:f>IF(E64&gt;0,D64/E64,"")</x:f>
        <x:v>0</x:v>
      </x:c>
      <x:c r="I64" s="60" t="n">
        <x:f>IF(F64&gt;0,D64/F64,"")</x:f>
        <x:v>0</x:v>
      </x:c>
      <x:c r="J64" s="60" t="n">
        <x:v>0</x:v>
      </x:c>
      <x:c r="K64" s="60" t="n">
        <x:v>15.066</x:v>
      </x:c>
      <x:c r="L64" s="60" t="n">
        <x:v>0</x:v>
      </x:c>
      <x:c r="M64" s="41" t="str"/>
    </x:row>
    <x:row r="65">
      <x:c r="A65" s="67" t="n">
        <x:v>44652</x:v>
      </x:c>
      <x:c r="B65" s="41" t="n">
        <x:v>67</x:v>
      </x:c>
      <x:c r="C65" s="60" t="n">
        <x:v>48</x:v>
      </x:c>
      <x:c r="D65" s="60" t="n">
        <x:v>1362</x:v>
      </x:c>
      <x:c r="E65" s="61" t="n">
        <x:v>3</x:v>
      </x:c>
      <x:c r="F65" s="61" t="n">
        <x:v>4</x:v>
      </x:c>
      <x:c r="G65" s="62" t="n">
        <x:f>IF(D65&gt;0,C65/D65,"")</x:f>
        <x:v>0.03524229074889868</x:v>
      </x:c>
      <x:c r="H65" s="60" t="n">
        <x:f>IF(E65&gt;0,D65/E65,"")</x:f>
        <x:v>454</x:v>
      </x:c>
      <x:c r="I65" s="60" t="n">
        <x:f>IF(F65&gt;0,D65/F65,"")</x:f>
        <x:v>340.5</x:v>
      </x:c>
      <x:c r="J65" s="60" t="n">
        <x:v>454</x:v>
      </x:c>
      <x:c r="K65" s="60" t="n">
        <x:v>-447.583333333333</x:v>
      </x:c>
      <x:c r="L65" s="60" t="n">
        <x:v>0</x:v>
      </x:c>
      <x:c r="M65" s="41" t="str"/>
    </x:row>
    <x:row r="66">
      <x:c r="A66" s="67" t="n">
        <x:v>44682</x:v>
      </x:c>
      <x:c r="B66" s="41" t="n">
        <x:v>68</x:v>
      </x:c>
      <x:c r="C66" s="60" t="n">
        <x:v>123.6</x:v>
      </x:c>
      <x:c r="D66" s="60" t="n">
        <x:v>0</x:v>
      </x:c>
      <x:c r="E66" s="61" t="n">
        <x:v>3</x:v>
      </x:c>
      <x:c r="F66" s="61" t="n">
        <x:v>17</x:v>
      </x:c>
      <x:c r="G66" s="62" t="str">
        <x:f>IF(D66&gt;0,C66/D66,"")</x:f>
      </x:c>
      <x:c r="H66" s="60" t="n">
        <x:f>IF(E66&gt;0,D66/E66,"")</x:f>
        <x:v>0</x:v>
      </x:c>
      <x:c r="I66" s="60" t="n">
        <x:f>IF(F66&gt;0,D66/F66,"")</x:f>
        <x:v>0</x:v>
      </x:c>
      <x:c r="J66" s="60" t="n">
        <x:v>0</x:v>
      </x:c>
      <x:c r="K66" s="60" t="n">
        <x:v>20.4266666666667</x:v>
      </x:c>
      <x:c r="L66" s="60" t="n">
        <x:v>0</x:v>
      </x:c>
      <x:c r="M66" s="41" t="str"/>
    </x:row>
    <x:row r="67">
      <x:c r="A67" s="67" t="n">
        <x:v>44713</x:v>
      </x:c>
      <x:c r="B67" s="41" t="n">
        <x:v>69</x:v>
      </x:c>
      <x:c r="C67" s="60" t="n">
        <x:v>30</x:v>
      </x:c>
      <x:c r="D67" s="60" t="n">
        <x:v>0</x:v>
      </x:c>
      <x:c r="E67" s="61" t="n">
        <x:v>2</x:v>
      </x:c>
      <x:c r="F67" s="61" t="n">
        <x:v>2</x:v>
      </x:c>
      <x:c r="G67" s="62" t="str">
        <x:f>IF(D67&gt;0,C67/D67,"")</x:f>
      </x:c>
      <x:c r="H67" s="60" t="n">
        <x:f>IF(E67&gt;0,D67/E67,"")</x:f>
        <x:v>0</x:v>
      </x:c>
      <x:c r="I67" s="60" t="n">
        <x:f>IF(F67&gt;0,D67/F67,"")</x:f>
        <x:v>0</x:v>
      </x:c>
      <x:c r="J67" s="60" t="n">
        <x:v>0</x:v>
      </x:c>
      <x:c r="K67" s="60" t="n">
        <x:v>4.84</x:v>
      </x:c>
      <x:c r="L67" s="60" t="n">
        <x:v>0</x:v>
      </x:c>
      <x:c r="M67" s="41" t="str"/>
    </x:row>
    <x:row r="68">
      <x:c r="A68" s="67" t="n">
        <x:v>44743</x:v>
      </x:c>
      <x:c r="B68" s="41" t="n">
        <x:v>70</x:v>
      </x:c>
      <x:c r="C68" s="60" t="n">
        <x:v>0</x:v>
      </x:c>
      <x:c r="D68" s="60" t="n">
        <x:v>0</x:v>
      </x:c>
      <x:c r="E68" s="61" t="n">
        <x:v>0</x:v>
      </x:c>
      <x:c r="F68" s="61" t="n">
        <x:v>0</x:v>
      </x:c>
      <x:c r="G68" s="62" t="str">
        <x:f>IF(D68&gt;0,C68/D68,"")</x:f>
      </x:c>
      <x:c r="H68" s="60" t="str">
        <x:f>IF(E68&gt;0,D68/E68,"")</x:f>
      </x:c>
      <x:c r="I68" s="60" t="str">
        <x:f>IF(F68&gt;0,D68/F68,"")</x:f>
      </x:c>
      <x:c r="J68" s="60" t="n">
        <x:v>0</x:v>
      </x:c>
      <x:c r="K68" s="60" t="n">
        <x:v>0</x:v>
      </x:c>
      <x:c r="L68" s="60" t="n">
        <x:v>0</x:v>
      </x:c>
      <x:c r="M68" s="41" t="str"/>
    </x:row>
    <x:row r="69">
      <x:c r="A69" s="67" t="n">
        <x:v>44774</x:v>
      </x:c>
      <x:c r="B69" s="41" t="n">
        <x:v>71</x:v>
      </x:c>
      <x:c r="C69" s="60" t="n">
        <x:v>81</x:v>
      </x:c>
      <x:c r="D69" s="60" t="n">
        <x:v>0</x:v>
      </x:c>
      <x:c r="E69" s="61" t="n">
        <x:v>3</x:v>
      </x:c>
      <x:c r="F69" s="61" t="n">
        <x:v>6</x:v>
      </x:c>
      <x:c r="G69" s="62" t="str">
        <x:f>IF(D69&gt;0,C69/D69,"")</x:f>
      </x:c>
      <x:c r="H69" s="60" t="n">
        <x:f>IF(E69&gt;0,D69/E69,"")</x:f>
        <x:v>0</x:v>
      </x:c>
      <x:c r="I69" s="60" t="n">
        <x:f>IF(F69&gt;0,D69/F69,"")</x:f>
        <x:v>0</x:v>
      </x:c>
      <x:c r="J69" s="60" t="n">
        <x:v>0</x:v>
      </x:c>
      <x:c r="K69" s="60" t="n">
        <x:v>15.62</x:v>
      </x:c>
      <x:c r="L69" s="60" t="n">
        <x:v>0</x:v>
      </x:c>
      <x:c r="M69" s="41" t="str"/>
    </x:row>
    <x:row r="70">
      <x:c r="A70" s="67" t="n">
        <x:v>44805</x:v>
      </x:c>
      <x:c r="B70" s="41" t="n">
        <x:v>72</x:v>
      </x:c>
      <x:c r="C70" s="60" t="n">
        <x:v>47</x:v>
      </x:c>
      <x:c r="D70" s="60" t="n">
        <x:v>0</x:v>
      </x:c>
      <x:c r="E70" s="61" t="n">
        <x:v>2</x:v>
      </x:c>
      <x:c r="F70" s="61" t="n">
        <x:v>4</x:v>
      </x:c>
      <x:c r="G70" s="62" t="str">
        <x:f>IF(D70&gt;0,C70/D70,"")</x:f>
      </x:c>
      <x:c r="H70" s="60" t="n">
        <x:f>IF(E70&gt;0,D70/E70,"")</x:f>
        <x:v>0</x:v>
      </x:c>
      <x:c r="I70" s="60" t="n">
        <x:f>IF(F70&gt;0,D70/F70,"")</x:f>
        <x:v>0</x:v>
      </x:c>
      <x:c r="J70" s="60" t="n">
        <x:v>0</x:v>
      </x:c>
      <x:c r="K70" s="60" t="n">
        <x:v>10.75</x:v>
      </x:c>
      <x:c r="L70" s="60" t="n">
        <x:v>0</x:v>
      </x:c>
      <x:c r="M70" s="41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74" hidden="0" customWidth="1"/>
    <x:col min="4" max="4" width="72" hidden="0" customWidth="1"/>
  </x:cols>
  <x:sheetData>
    <x:row r="1">
      <x:c r="A1" s="36" t="str">
        <x:v>Kickstarter and Non-Ad Traction</x:v>
      </x:c>
      <x:c r="B1" s="36"/>
      <x:c r="C1" s="36"/>
      <x:c r="D1" s="36"/>
    </x:row>
    <x:row r="2">
      <x:c r="A2" s="37"/>
      <x:c r="B2" s="37"/>
      <x:c r="C2" s="37"/>
      <x:c r="D2" s="37"/>
    </x:row>
    <x:row r="3">
      <x:c r="A3" s="38" t="str">
        <x:v>Metric</x:v>
      </x:c>
      <x:c r="B3" s="53" t="str">
        <x:v>Value</x:v>
      </x:c>
      <x:c r="C3" s="53" t="str">
        <x:v>Source</x:v>
      </x:c>
      <x:c r="D3" s="39" t="str">
        <x:v>Notes</x:v>
      </x:c>
    </x:row>
    <x:row r="4">
      <x:c r="A4" s="40" t="str">
        <x:v>Kickstarter backers</x:v>
      </x:c>
      <x:c r="B4" s="40" t="n">
        <x:v>233</x:v>
      </x:c>
      <x:c r="C4" s="40" t="str">
        <x:v>/Users/micahhoang/Library/CloudStorage/SynologyDrive-ArticaVisuals/NATIONAL PARK PLAYING CARDS/ANALYTICS/Retail NP Playing Cards Summary.pdf</x:v>
      </x:c>
      <x:c r="D4" s="40" t="str">
        <x:v>30-day Kickstarter summary</x:v>
      </x:c>
    </x:row>
    <x:row r="5">
      <x:c r="A5" s="41" t="str">
        <x:v>Kickstarter revenue</x:v>
      </x:c>
      <x:c r="B5" s="70" t="n">
        <x:v>5647</x:v>
      </x:c>
      <x:c r="C5" s="41" t="str">
        <x:v>/Users/micahhoang/Library/CloudStorage/SynologyDrive-ArticaVisuals/NATIONAL PARK PLAYING CARDS/ANALYTICS/Retail NP Playing Cards Summary.pdf</x:v>
      </x:c>
      <x:c r="D5" s="41" t="str">
        <x:v>Source-provided total revenue by tier</x:v>
      </x:c>
    </x:row>
    <x:row r="6">
      <x:c r="A6" s="41" t="str">
        <x:v>Computed decks</x:v>
      </x:c>
      <x:c r="B6" s="41" t="n">
        <x:v>526</x:v>
      </x:c>
      <x:c r="C6" s="41" t="str">
        <x:v>/Users/micahhoang/Library/CloudStorage/SynologyDrive-ArticaVisuals/NATIONAL PARK PLAYING CARDS/ANALYTICS/Retail NP Playing Cards Summary.pdf</x:v>
      </x:c>
      <x:c r="D6" s="41" t="str">
        <x:v>Computed from backer tiers: 1x/2x/3x/4x/8x</x:v>
      </x:c>
    </x:row>
    <x:row r="7">
      <x:c r="A7" s="41" t="str">
        <x:v>AOV</x:v>
      </x:c>
      <x:c r="B7" s="60" t="n">
        <x:f>B5/B4</x:f>
        <x:v>24.236051502145923</x:v>
      </x:c>
      <x:c r="C7" s="41" t="str">
        <x:v>/Users/micahhoang/Library/CloudStorage/SynologyDrive-ArticaVisuals/NATIONAL PARK PLAYING CARDS/ANALYTICS/Retail NP Playing Cards Summary.pdf</x:v>
      </x:c>
      <x:c r="D7" s="41" t="str">
        <x:v>Revenue / backers</x:v>
      </x:c>
    </x:row>
    <x:row r="8">
      <x:c r="A8" s="41" t="str">
        <x:v>Standard white share</x:v>
      </x:c>
      <x:c r="B8" s="41" t="str">
        <x:v>60%</x:v>
      </x:c>
      <x:c r="C8" s="41" t="str">
        <x:v>/Users/micahhoang/Library/CloudStorage/SynologyDrive-ArticaVisuals/NATIONAL PARK PLAYING CARDS/ANALYTICS/Retail NP Playing Cards Summary.pdf</x:v>
      </x:c>
      <x:c r="D8" s="41" t="str">
        <x:v>Source text says 60% selected standard white deck</x:v>
      </x:c>
    </x:row>
    <x:row r="9">
      <x:c r="A9" s="41" t="str">
        <x:v>Single-deck export rows</x:v>
      </x:c>
      <x:c r="B9" s="41" t="n">
        <x:v>81</x:v>
      </x:c>
      <x:c r="C9" s="41" t="str">
        <x:v>Kickstarter Shipment stuff/Single Deck Orders.csv</x:v>
      </x:c>
      <x:c r="D9" s="41" t="str">
        <x:v>Collected single-deck backer export</x:v>
      </x:c>
    </x:row>
    <x:row r="10">
      <x:c r="A10" s="41" t="str">
        <x:v>Single-deck pledge sum</x:v>
      </x:c>
      <x:c r="B10" s="70" t="n">
        <x:v>1172</x:v>
      </x:c>
      <x:c r="C10" s="41" t="str">
        <x:v>Kickstarter Shipment stuff/Single Deck Orders.csv</x:v>
      </x:c>
      <x:c r="D10" s="41" t="str">
        <x:v>PII excluded from this workbook</x:v>
      </x:c>
    </x:row>
    <x:row r="11">
      <x:c r="A11" s="37"/>
      <x:c r="B11" s="37"/>
      <x:c r="C11" s="37"/>
      <x:c r="D11" s="37"/>
    </x:row>
    <x:row r="12">
      <x:c r="A12" s="37"/>
      <x:c r="B12" s="37"/>
      <x:c r="C12" s="37"/>
      <x:c r="D12" s="37"/>
    </x:row>
    <x:row r="13">
      <x:c r="A13" s="38" t="str">
        <x:v>Traction Claim</x:v>
      </x:c>
      <x:c r="B13" s="53" t="str">
        <x:v>Value</x:v>
      </x:c>
      <x:c r="C13" s="53" t="str">
        <x:v>Source</x:v>
      </x:c>
      <x:c r="D13" s="39" t="str">
        <x:v>Notes</x:v>
      </x:c>
    </x:row>
    <x:row r="14">
      <x:c r="A14" s="40" t="str">
        <x:v>20,000 decks sold</x:v>
      </x:c>
      <x:c r="B14" s="40" t="str">
        <x:v>20,000</x:v>
      </x:c>
      <x:c r="C14" s="40" t="str">
        <x:v>KICKSTARTER/All Cards Animation/All Cards Animation_AME/By the Numbers.mp4</x:v>
      </x:c>
      <x:c r="D14" s="40" t="str">
        <x:v>Visible in extracted contact sheet; brochure says over 20,000 decks sold.</x:v>
      </x:c>
    </x:row>
    <x:row r="15">
      <x:c r="A15" s="41" t="str">
        <x:v>185 unique stores</x:v>
      </x:c>
      <x:c r="B15" s="41" t="str">
        <x:v>185</x:v>
      </x:c>
      <x:c r="C15" s="41" t="str">
        <x:v>KICKSTARTER/All Cards Animation/All Cards Animation_AME/By the Numbers.mp4</x:v>
      </x:c>
      <x:c r="D15" s="41" t="str">
        <x:v>Brochure uses broader 200+ retail stores wording; use 185 if you want the more conservative visual/video claim.</x:v>
      </x:c>
    </x:row>
    <x:row r="16">
      <x:c r="A16" s="41" t="str">
        <x:v>49 states</x:v>
      </x:c>
      <x:c r="B16" s="41" t="str">
        <x:v>49</x:v>
      </x:c>
      <x:c r="C16" s="41" t="str">
        <x:v>KICKSTARTER/All Cards Animation/All Cards Animation_AME/By the Numbers.mp4</x:v>
      </x:c>
      <x:c r="D16" s="41" t="str">
        <x:v>Visible in extracted contact sheet.</x:v>
      </x:c>
    </x:row>
    <x:row r="17">
      <x:c r="A17" s="41" t="str">
        <x:v>200+ retail stores including REI and park visitor centers</x:v>
      </x:c>
      <x:c r="B17" s="41" t="str">
        <x:v>200+</x:v>
      </x:c>
      <x:c r="C17" s="41" t="str">
        <x:v>ANALYTICS/Nat Park Brochure.pdf and SALES/Brochure/Nat Park Brochure.pdf</x:v>
      </x:c>
      <x:c r="D17" s="41" t="str">
        <x:v>Sales collateral; use as a branded traction claim, not ad-performance proof.</x:v>
      </x:c>
    </x:row>
    <x:row r="18">
      <x:c r="A18" s="41" t="str">
        <x:v>2020-2022 workbook profit subtotal</x:v>
      </x:c>
      <x:c r="B18" s="41" t="str">
        <x:v>$44,243</x:v>
      </x:c>
      <x:c r="C18" s="41" t="str">
        <x:v>NAT PARK PROFITS.numbers export &gt; TOTAL PROFITS sheets</x:v>
      </x:c>
      <x:c r="D18" s="41" t="str">
        <x:v>Computed from workbook subtotals: 2020 $7,845; 2021 $9,047; 2022 $27,351. Treat as internal workbook estimate.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100" hidden="0" customWidth="1"/>
    <x:col min="3" max="3" width="50" hidden="0" customWidth="1"/>
  </x:cols>
  <x:sheetData>
    <x:row r="1">
      <x:c r="A1" s="72" t="str">
        <x:v>Root</x:v>
      </x:c>
      <x:c r="B1" s="72" t="str">
        <x:v>/Users/micahhoang/Library/CloudStorage/SynologyDrive-ArticaVisuals/NATIONAL PARK PLAYING CARDS</x:v>
      </x:c>
      <x:c r="C1" s="72"/>
    </x:row>
    <x:row r="2">
      <x:c r="A2" s="37"/>
      <x:c r="B2" s="37"/>
      <x:c r="C2" s="37"/>
    </x:row>
    <x:row r="3">
      <x:c r="A3" s="38" t="str">
        <x:v>File / Source</x:v>
      </x:c>
      <x:c r="B3" s="53" t="str">
        <x:v>Evidence Found</x:v>
      </x:c>
      <x:c r="C3" s="39" t="str">
        <x:v>Usable For</x:v>
      </x:c>
    </x:row>
    <x:row r="4">
      <x:c r="A4" s="40" t="str">
        <x:v>ANALYTICS/NAT PARK PROFITS.numbers</x:v>
      </x:c>
      <x:c r="B4" s="40" t="str">
        <x:v>Converted to Excel. Shopify Financials table includes Ad Fees, Ad $ per order, Total Sales, Units sold, Number of orders, and Paid to Zach.</x:v>
      </x:c>
      <x:c r="C4" s="40" t="str">
        <x:v>Yes - strongest source for CAC/ROAS-style claims</x:v>
      </x:c>
    </x:row>
    <x:row r="5">
      <x:c r="A5" s="41" t="str">
        <x:v>MARKETING/ADS/Vikas Ad Proposal.pdf</x:v>
      </x:c>
      <x:c r="B5" s="41" t="str">
        <x:v>Facebook/Instagram ad campaign proposal: purchase/conversion optimization, 3 ad sets, 2 ads/ad set, $20/day per ad set ($60/day), retargeting at $30/day per ad set ($90/day), increase profitable ad sets by 15%.</x:v>
      </x:c>
      <x:c r="C5" s="41" t="str">
        <x:v>Planning proof only; not performance results</x:v>
      </x:c>
    </x:row>
    <x:row r="6">
      <x:c r="A6" s="41" t="str">
        <x:v>No Meta/Google platform export found</x:v>
      </x:c>
      <x:c r="B6" s="41" t="str">
        <x:v>Filename/content sweeps and subagents did not find Ads Manager, Google Ads, Shopify, Stripe, BackerKit, or platform exports with impressions/clicks/purchases/conversion value/ROAS.</x:v>
      </x:c>
      <x:c r="C6" s="41" t="str">
        <x:v>Caveat in any final claim</x:v>
      </x:c>
    </x:row>
    <x:row r="7">
      <x:c r="A7" s="41" t="str">
        <x:v>ANALYTICS/Retail NP Playing Cards Summary.pdf</x:v>
      </x:c>
      <x:c r="B7" s="41" t="str">
        <x:v>Kickstarter 30-day summary: 233 backers, $5,647 revenue, 526 computed decks, $24.24 AOV.</x:v>
      </x:c>
      <x:c r="C7" s="41" t="str">
        <x:v>Revenue/backer proof; no ad spend</x:v>
      </x:c>
    </x:row>
    <x:row r="8">
      <x:c r="A8" s="41"/>
      <x:c r="B8" s="41"/>
      <x:c r="C8" s="41"/>
    </x:row>
    <x:row r="9">
      <x:c r="A9" s="41" t="str">
        <x:v>Zach Evidence</x:v>
      </x:c>
      <x:c r="B9" s="41" t="str">
        <x:v>The local files include Zach first-name evidence via Paid to Zach, but no Zachary Stevenson filename or explicit surname hit was found.</x:v>
      </x:c>
      <x:c r="C9" s="41" t="str">
        <x:v>NAT PARK PROFITS.numbers &gt; Shopify Financials column T</x:v>
      </x:c>
    </x:row>
    <x:row r="10">
      <x:c r="A10" s="41"/>
      <x:c r="B10" s="41"/>
      <x:c r="C10" s="41"/>
    </x:row>
    <x:row r="11">
      <x:c r="A11" s="41" t="str">
        <x:v>Original Sheet Total Note</x:v>
      </x:c>
      <x:c r="B11" s="41" t="str">
        <x:v>Original sheet stores sales total 45257.98 and ad total 20657.59; workbook recalculates matching rows for consistent ROAS.</x:v>
      </x:c>
      <x:c r="C11" s="41" t="str">
        <x:v>NAT PARK PROFITS.numbers export</x:v>
      </x:c>
    </x:row>
    <x:row r="12">
      <x:c r="A12" s="41"/>
      <x:c r="B12" s="41"/>
      <x:c r="C12" s="41"/>
    </x:row>
    <x:row r="13">
      <x:c r="A13" s="41" t="str">
        <x:v>Search Result</x:v>
      </x:c>
      <x:c r="B13" s="41" t="str">
        <x:v>No raw Meta/Google Ads export surfaced</x:v>
      </x:c>
      <x:c r="C13" s="41" t="str">
        <x:v>Use caveat when flexing ROAS/CAC</x:v>
      </x:c>
    </x:row>
  </x:sheetData>
  <x:pageMargins left="0.7" right="0.7" top="0.75" bottom="0.75" header="0.3" footer="0.3"/>
</x:worksheet>
</file>